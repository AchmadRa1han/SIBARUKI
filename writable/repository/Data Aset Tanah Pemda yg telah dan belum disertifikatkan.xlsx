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OVASI\data dasar\"/>
    </mc:Choice>
  </mc:AlternateContent>
  <xr:revisionPtr revIDLastSave="0" documentId="13_ncr:1_{93D7D673-6C92-47C5-9E96-5F904D7C9E23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Table 1" sheetId="1" r:id="rId1"/>
    <sheet name="bersertifikat" sheetId="2" r:id="rId2"/>
    <sheet name="Data lengkap" sheetId="3" r:id="rId3"/>
    <sheet name="Sheet1" sheetId="4" r:id="rId4"/>
  </sheets>
  <calcPr calcId="181029"/>
</workbook>
</file>

<file path=xl/calcChain.xml><?xml version="1.0" encoding="utf-8"?>
<calcChain xmlns="http://schemas.openxmlformats.org/spreadsheetml/2006/main">
  <c r="I11" i="2" l="1"/>
  <c r="G11" i="2"/>
  <c r="E11" i="2"/>
  <c r="C11" i="2"/>
  <c r="D12" i="2" l="1"/>
  <c r="E12" i="2"/>
  <c r="F12" i="2"/>
  <c r="G12" i="2"/>
  <c r="H12" i="2"/>
  <c r="I12" i="2"/>
  <c r="K12" i="2"/>
  <c r="L12" i="2"/>
  <c r="C12" i="2"/>
</calcChain>
</file>

<file path=xl/sharedStrings.xml><?xml version="1.0" encoding="utf-8"?>
<sst xmlns="http://schemas.openxmlformats.org/spreadsheetml/2006/main" count="1494" uniqueCount="468">
  <si>
    <r>
      <rPr>
        <b/>
        <sz val="12"/>
        <rFont val="Gill Sans MT"/>
        <family val="2"/>
      </rPr>
      <t xml:space="preserve">REKAP TANAH PERKECAMATAN
</t>
    </r>
    <r>
      <rPr>
        <b/>
        <sz val="11"/>
        <rFont val="Gill Sans MT"/>
        <family val="2"/>
      </rPr>
      <t>BMD</t>
    </r>
  </si>
  <si>
    <r>
      <rPr>
        <b/>
        <sz val="7"/>
        <rFont val="Gill Sans MT"/>
        <family val="2"/>
      </rPr>
      <t>NO.</t>
    </r>
  </si>
  <si>
    <r>
      <rPr>
        <b/>
        <sz val="7"/>
        <rFont val="Gill Sans MT"/>
        <family val="2"/>
      </rPr>
      <t>KECAMATAN</t>
    </r>
  </si>
  <si>
    <r>
      <rPr>
        <b/>
        <sz val="7"/>
        <rFont val="Gill Sans MT"/>
        <family val="2"/>
      </rPr>
      <t>BERSERTIFIKAT</t>
    </r>
  </si>
  <si>
    <r>
      <rPr>
        <b/>
        <sz val="7"/>
        <rFont val="Gill Sans MT"/>
        <family val="2"/>
      </rPr>
      <t>BELUM BERSERTIFIKAT</t>
    </r>
  </si>
  <si>
    <r>
      <rPr>
        <b/>
        <sz val="7"/>
        <rFont val="Gill Sans MT"/>
        <family val="2"/>
      </rPr>
      <t>TOTAL</t>
    </r>
  </si>
  <si>
    <r>
      <rPr>
        <b/>
        <sz val="7"/>
        <rFont val="Gill Sans MT"/>
        <family val="2"/>
      </rPr>
      <t>JUMLAH</t>
    </r>
  </si>
  <si>
    <r>
      <rPr>
        <b/>
        <sz val="7"/>
        <rFont val="Gill Sans MT"/>
        <family val="2"/>
      </rPr>
      <t>LUAS (M2)</t>
    </r>
  </si>
  <si>
    <r>
      <rPr>
        <b/>
        <sz val="7"/>
        <rFont val="Gill Sans MT"/>
        <family val="2"/>
      </rPr>
      <t>NILAI</t>
    </r>
  </si>
  <si>
    <r>
      <rPr>
        <sz val="7"/>
        <rFont val="Gill Sans MT"/>
        <family val="2"/>
      </rPr>
      <t>SINJAI BARAT</t>
    </r>
  </si>
  <si>
    <r>
      <rPr>
        <sz val="7"/>
        <rFont val="Gill Sans MT"/>
        <family val="2"/>
      </rPr>
      <t>SINJAI SELATAN</t>
    </r>
  </si>
  <si>
    <r>
      <rPr>
        <sz val="7"/>
        <rFont val="Gill Sans MT"/>
        <family val="2"/>
      </rPr>
      <t>SINJAI TIMUR</t>
    </r>
  </si>
  <si>
    <r>
      <rPr>
        <sz val="7"/>
        <rFont val="Gill Sans MT"/>
        <family val="2"/>
      </rPr>
      <t>SINJAI TENGAH</t>
    </r>
  </si>
  <si>
    <r>
      <rPr>
        <sz val="7"/>
        <rFont val="Gill Sans MT"/>
        <family val="2"/>
      </rPr>
      <t>SINJAI UTARA</t>
    </r>
  </si>
  <si>
    <r>
      <rPr>
        <sz val="7"/>
        <rFont val="Gill Sans MT"/>
        <family val="2"/>
      </rPr>
      <t>BULUPODDO</t>
    </r>
  </si>
  <si>
    <r>
      <rPr>
        <sz val="7"/>
        <rFont val="Gill Sans MT"/>
        <family val="2"/>
      </rPr>
      <t>SINJAI BORONG</t>
    </r>
  </si>
  <si>
    <r>
      <rPr>
        <sz val="7"/>
        <rFont val="Gill Sans MT"/>
        <family val="2"/>
      </rPr>
      <t>TELLU LIMPOE</t>
    </r>
  </si>
  <si>
    <r>
      <rPr>
        <sz val="7"/>
        <rFont val="Gill Sans MT"/>
        <family val="2"/>
      </rPr>
      <t>PULAU SEMBILAN</t>
    </r>
  </si>
  <si>
    <t>Kabupaten/Kota           : Kabupaten Sinjai Tahun 2024            Provinsi                         : Sulawesi Selatan</t>
  </si>
  <si>
    <t>Total</t>
  </si>
  <si>
    <t>NO.</t>
  </si>
  <si>
    <t>KECAMATAN</t>
  </si>
  <si>
    <t>JUMLAH</t>
  </si>
  <si>
    <t>LUAS (M2)</t>
  </si>
  <si>
    <t>SINJAI BARAT</t>
  </si>
  <si>
    <t>SINJAI SELATAN</t>
  </si>
  <si>
    <t>SINJAI TIMUR</t>
  </si>
  <si>
    <t>SINJAI TENGAH</t>
  </si>
  <si>
    <t>SINJAI UTARA</t>
  </si>
  <si>
    <t>BULUPODDO</t>
  </si>
  <si>
    <t>SINJAI BORONG</t>
  </si>
  <si>
    <t>TELLU LIMPOE</t>
  </si>
  <si>
    <t>PULAU SEMBILAN</t>
  </si>
  <si>
    <t>-</t>
  </si>
  <si>
    <t>Data Aset Tanah Pemda yang telah disertifikatkan 5 tahun terkahir</t>
  </si>
  <si>
    <t>No</t>
  </si>
  <si>
    <t>Nomor Sertifikat</t>
  </si>
  <si>
    <t>Nama Pemilik / Instansi</t>
  </si>
  <si>
    <t>Luas (m²)</t>
  </si>
  <si>
    <t>Lokasi / Alamat</t>
  </si>
  <si>
    <t>Desa / Kelurahan</t>
  </si>
  <si>
    <t>Kecamatan</t>
  </si>
  <si>
    <t>Tanggal Terbit Sertifikat</t>
  </si>
  <si>
    <t>Nomor Hak (HGB/Hak Pakai/Hak Milik)</t>
  </si>
  <si>
    <t>Peruntukan / Penggunaan Tanah</t>
  </si>
  <si>
    <t>Nilai Aset (Rp)</t>
  </si>
  <si>
    <t>Status Tanah (Aktif / Sengketa / Tidak Digunakan)</t>
  </si>
  <si>
    <t>Keterangan</t>
  </si>
  <si>
    <t>Aktif</t>
  </si>
  <si>
    <t>Kel. Sangiasseri</t>
  </si>
  <si>
    <t>Desa poliwali</t>
  </si>
  <si>
    <t>Desa Pasimarannu</t>
  </si>
  <si>
    <t>Desa Saukang</t>
  </si>
  <si>
    <t>Desa Palangka</t>
  </si>
  <si>
    <t>Desa Biji Nangka</t>
  </si>
  <si>
    <t>Desa Batu Belerang</t>
  </si>
  <si>
    <t>Desa Bonto Sinala</t>
  </si>
  <si>
    <t>Kel. Pasir Putih</t>
  </si>
  <si>
    <t>UPTD SMPN 23 SINJAI</t>
  </si>
  <si>
    <t>Kel. Sangiaserri, Kec. Sinjai Selatan</t>
  </si>
  <si>
    <t>HAK PAKAI</t>
  </si>
  <si>
    <t>Tanah Bangunan Sekolah</t>
  </si>
  <si>
    <t>SDN NO. 244 JENNA</t>
  </si>
  <si>
    <t>Dusun Jenna Desa Polewali Kec.Sinjai Selatan</t>
  </si>
  <si>
    <t>TK Negeri VIII Pasimarannu Sinjai Timur</t>
  </si>
  <si>
    <t>Jl. Petta Nonci No. 2 Desa Pasimarannu Kec. Sinjai Timur</t>
  </si>
  <si>
    <t>Tanah Bangunan TK Neg. VIII Passimarannu Sinjai Timur</t>
  </si>
  <si>
    <t>TK Negeri I Dompili Sinjai Timur</t>
  </si>
  <si>
    <t>Jl.H.Abd.Latief No.A 18 ,Desa Saukang Kec. Sinjai Timur</t>
  </si>
  <si>
    <t>Tanah Bangunan TK Idhata I Dompili</t>
  </si>
  <si>
    <t>TK Negeri Palangka Sinjai Selatan</t>
  </si>
  <si>
    <t>Dusun Honto, Desa Palangka Kec. Sinjai Selatan</t>
  </si>
  <si>
    <t>Sebidang Tanah Non Pertanian yang dipergunan untuk tanah bangunan TK Neg.Palangka</t>
  </si>
  <si>
    <t>TK Negeri Bijinangka Sinjai Borong</t>
  </si>
  <si>
    <t>Dusun Nangkae, Desa Biji Nangka Kec. Sinjai Borong</t>
  </si>
  <si>
    <t>Tanah Bangunan Gedung TK Neg. Biji Nangka</t>
  </si>
  <si>
    <t>TK Negeri Batu Belerang Sinjai Borong</t>
  </si>
  <si>
    <t>Dusun Jeppara, Desa Batu Belerang, Kec. Sinjai Brorong</t>
  </si>
  <si>
    <t>Tanah Bangunan TK Negeri Batu Belerang</t>
  </si>
  <si>
    <t>TK Negeri Bonto Sinala Sinjai Borong</t>
  </si>
  <si>
    <t>Dusun Bongki-Bongki, Desa Bonto Sinala, Kec. Sinjai Borong</t>
  </si>
  <si>
    <t>Tanah Bangunan TK Negeri Bonto Sinala</t>
  </si>
  <si>
    <t>TK Negeri Pasir Putih Sinjai Borong</t>
  </si>
  <si>
    <t>Kel. Pasir Putih Kec. Sinjai Borong</t>
  </si>
  <si>
    <t>Tanah Bangunan TK Neg.Pasir Putih</t>
  </si>
  <si>
    <t>TK Negeri Mannyaha Sinjai Borong</t>
  </si>
  <si>
    <t>Lingk. Mannyaha, Kel. Pasir Putih, Kec. Sinjai Borong</t>
  </si>
  <si>
    <t>Tanah Bangunan Gedung Sekolah TK Neg. Mannyaha</t>
  </si>
  <si>
    <t>Kel. Biringere</t>
  </si>
  <si>
    <t>Kel. Bongki</t>
  </si>
  <si>
    <t>Kel. Balangnipa</t>
  </si>
  <si>
    <t>Kel. Lappa</t>
  </si>
  <si>
    <t>Pustu Polewali</t>
  </si>
  <si>
    <t>Dusun lantak desa Polewali</t>
  </si>
  <si>
    <t>Gedung Pustu</t>
  </si>
  <si>
    <t>Rumah Sakit Umum Daerah</t>
  </si>
  <si>
    <t>Jl. Jendral Sudirman, Kel. Biringere, Kec. Sinjai Utara</t>
  </si>
  <si>
    <t>Rumah Sakit Umum Daerah (RSUD)</t>
  </si>
  <si>
    <t>Dinas Pekerjaan Umum dan Penataan Ruang</t>
  </si>
  <si>
    <t>Tanah Ruas Jl. Gunung Rinjani</t>
  </si>
  <si>
    <t>Tanah Ruas Jl. R. W. Monginsidi Bidang 1</t>
  </si>
  <si>
    <t>Tanah Ruas Jl. R. W. Monginsidi Baru</t>
  </si>
  <si>
    <t>Tanah Ruas Jl. Pattimura</t>
  </si>
  <si>
    <t>Tanah Ruas Jl. Teuku Umar</t>
  </si>
  <si>
    <t>Tanah Ruas Jl. K.H. Agus Salim</t>
  </si>
  <si>
    <t>Tanah Ruas Jl. Cakalang Bidang 2</t>
  </si>
  <si>
    <t>Tanah Ruas Jl. Veteran Bidang 1</t>
  </si>
  <si>
    <t>Tanah Ruas Jl. Veteran I</t>
  </si>
  <si>
    <t>Tanah Ruas Jl. Tekukur</t>
  </si>
  <si>
    <t>Tanah Ruas Jl. Baso Kalaka Dalam</t>
  </si>
  <si>
    <t>Tanah Ruas Jl. Bulu Kunyi</t>
  </si>
  <si>
    <t>Tanah Ruas Jl. Bulu Bicara Bidang 1</t>
  </si>
  <si>
    <t>Tanah Ruas Jl. Bulu Bicara I Bidang 1</t>
  </si>
  <si>
    <t>Tanah Ruas Jl. Gunung Kerinci</t>
  </si>
  <si>
    <t>Tanah Ruas Jl. Bulu Salaka</t>
  </si>
  <si>
    <t>Tanah Ruas Jl. Baso Kalaka</t>
  </si>
  <si>
    <t>Tanah Ruas Jl. R. W. Monginsidi Bidang 3</t>
  </si>
  <si>
    <t>Tanah Ruas Jl. R. W. Monginsidi Bidang 4</t>
  </si>
  <si>
    <t>Tanah Ruas Jl. R. W. Monginsidi Bidang 5</t>
  </si>
  <si>
    <t>Tanah Ruas Jl. R. W. Monginsidi Bidang 7</t>
  </si>
  <si>
    <t>Tanah Ruas Jl. R. W. Monginsidi Bidang 6</t>
  </si>
  <si>
    <t>Tanah Ruas Jl. Cakalang Bidang 3</t>
  </si>
  <si>
    <t>Tanah Ruas Jl. Cakalang Bidang 5</t>
  </si>
  <si>
    <t>Tanah Ruas Jl. Cakalang Bidang 6</t>
  </si>
  <si>
    <t>Tanah Ruas Jl. Cakalang Bidang 4</t>
  </si>
  <si>
    <t>Tanah Ruas Jl. Veteran Bidang 2</t>
  </si>
  <si>
    <t>Tanah Ruas Jl. Veteran Bidang 3</t>
  </si>
  <si>
    <t>Tanah Ruas Jl. R. W. Monginsidi Bidang 2</t>
  </si>
  <si>
    <t>Tanah Ruas Jl. Cakalang Bidang 1</t>
  </si>
  <si>
    <t>Tanah Ruas Jl. Bulu Bicara I Bidang 2</t>
  </si>
  <si>
    <t>Tanah Ruas Jl. Bulu Bicara Bidang 2</t>
  </si>
  <si>
    <t>Tanah Ruas Jl. Bulu Bicara Bidang 3</t>
  </si>
  <si>
    <t>Tanah Ruas Jl. Andi. Paddo</t>
  </si>
  <si>
    <t>Tanah Ruas Jl. Letjend Sukawati</t>
  </si>
  <si>
    <t>Tanah Ruas Jl. M. H. Thamrin</t>
  </si>
  <si>
    <t>Tanah Ruas Jl. Yahya Mathan</t>
  </si>
  <si>
    <t>Tanah Ruas Jl. Yahya Mathan I</t>
  </si>
  <si>
    <t>Kel .Balangnipa</t>
  </si>
  <si>
    <t>Tanah Ruas Jl. DR. Samratulangi Bidang 3</t>
  </si>
  <si>
    <t>Tanah Ruas Jl. Sultan Hasanuddin I</t>
  </si>
  <si>
    <t>Tanah Ruas Jl. Teratai Bidang 2</t>
  </si>
  <si>
    <t>Tanah Ruas Jl. Melati Bidang 1</t>
  </si>
  <si>
    <t>Tanah Ruas Jl. Beluntas</t>
  </si>
  <si>
    <t>Tanah Ruas Jl. Hos Cokroaminoto</t>
  </si>
  <si>
    <t>Tanah Ruas Jl. Flamboyan</t>
  </si>
  <si>
    <t>Tanah Ruas Jl. Markisa Bidang II</t>
  </si>
  <si>
    <t>Tanah Ruas Jl. Muh. Tahir Bidang 1</t>
  </si>
  <si>
    <t>Tanah Ruas Jl. Anggrek</t>
  </si>
  <si>
    <t>Tanah Ruas Jl. Mawar</t>
  </si>
  <si>
    <t>Tanah Ruas Jl. Baronang</t>
  </si>
  <si>
    <t>Tanah Ruas Jl. Titang Bidang 1</t>
  </si>
  <si>
    <t>Tanah Ruas Jl. K. H. Dewantara</t>
  </si>
  <si>
    <t>Tanah Ruas Jl. K. H. Dewantara I Bidang 1</t>
  </si>
  <si>
    <t>Tanah Ruas Jl. A. Akbar</t>
  </si>
  <si>
    <t>Kel. Balangnipa / Kel. Bongki</t>
  </si>
  <si>
    <t>Tanah Ruas Jl. Gunung Bawakaraeng Bidang 1</t>
  </si>
  <si>
    <t>Tanah Ruas Jl. Lompo Battang Bidang 1</t>
  </si>
  <si>
    <t>Tanah Ruas Jl. Bulu Lohe I</t>
  </si>
  <si>
    <t>Tanah Ruas Jl. Gunung Krakatau</t>
  </si>
  <si>
    <t>Tanah Ruas Jl. Bulu Beppajeng</t>
  </si>
  <si>
    <t>Tanah Ruas Jl. Bulu Patukku</t>
  </si>
  <si>
    <t>Tanah Ruas Jl. Pramuka</t>
  </si>
  <si>
    <t>Tanah Ruas Jl. Dahlan Isma</t>
  </si>
  <si>
    <t>Tanah Ruas Jl. Dr. Sutomo</t>
  </si>
  <si>
    <t>Tanah Ruas Jl. Diponegoro I Bidang 2</t>
  </si>
  <si>
    <t>Tanah Ruas Jl. Diponegoro</t>
  </si>
  <si>
    <t>Tanah Ruas Jl. Sultan Hasanuddin</t>
  </si>
  <si>
    <t>Tanah Ruas Jl. Kelapa</t>
  </si>
  <si>
    <t>Tanah Ruas Jl. Cengkeh</t>
  </si>
  <si>
    <t>Tanah Ruas Jl. Muh. Tahir Bidang 2</t>
  </si>
  <si>
    <t>Tanah Ruas Jl. Muh. Tahir Bidang 3</t>
  </si>
  <si>
    <t>Tanah Ruas Jl. Markisa Bidang 1</t>
  </si>
  <si>
    <t>Tanah Ruas Jl. Titang Bidang 2</t>
  </si>
  <si>
    <t>Tanah Ruas Jl. Hos Cokroaminoto Bidang 5</t>
  </si>
  <si>
    <t>Tanah Ruas Jl. Hos Cokroaminoto Bidang 4</t>
  </si>
  <si>
    <t>Tanah Ruas Jl. DR. Samratulangi Bidang 1</t>
  </si>
  <si>
    <t>Tanah Ruas Jl. DR. Samratulangi Bidang 2</t>
  </si>
  <si>
    <t>Tanah Ruas Jl. Gunung Bawakaraeng Bidang 2</t>
  </si>
  <si>
    <t>Tanah Ruas Jl. Teratai Bidang 1</t>
  </si>
  <si>
    <t>Tanah Ruas Jl. DR. Samratulangi Bidang 4</t>
  </si>
  <si>
    <t>Tanah Ruas Jl. Lompo Battang Bidang 2</t>
  </si>
  <si>
    <t>Tanah Ruas Jl. Diponegoro I Bidang 1</t>
  </si>
  <si>
    <t>Tanah Ruas Jl. Andi. Paddo Bidang 2</t>
  </si>
  <si>
    <t>Tanah Ruas Jl. Melati Bidang 2</t>
  </si>
  <si>
    <t>Tanah Ruas Jl. Andi. Paddo Bidang 1</t>
  </si>
  <si>
    <t>Tanah Ruas Jl. K. H. Dewantara I Bidang 2</t>
  </si>
  <si>
    <t>Tanah Ruas Jl. Letjend Sukawati I</t>
  </si>
  <si>
    <t>Tanah Ruas Jl. Bulu Lohe Bidang 1</t>
  </si>
  <si>
    <t>Tanah Ruas Jl. Bulu Tanah Bidang 1</t>
  </si>
  <si>
    <t>Tanah Ruas Jl. Manimpahoi</t>
  </si>
  <si>
    <t>Tanah Ruas Jl. Bulu Lohe Bidang 2</t>
  </si>
  <si>
    <t>Tanah Ruas Jl. Bulu Lohe Bidang 3</t>
  </si>
  <si>
    <t>Tanah Ruas Jl. Bulu Lohe Bidang 4</t>
  </si>
  <si>
    <t>Tanah Ruas Jl. Bulu Tanah Bidang 2</t>
  </si>
  <si>
    <t>Tanah Ruas Jl. Bulu Tanah Bidang 3</t>
  </si>
  <si>
    <t>Tanah Ruas Jl. Bulu Tanah Bidang 4</t>
  </si>
  <si>
    <t>Tanah Ruas Jl. Bulu Tanah Bidang 5</t>
  </si>
  <si>
    <t>Mannanti</t>
  </si>
  <si>
    <t>Tanah Ruas Jalan Air Terjun 7 Tingkat</t>
  </si>
  <si>
    <t>Tanah Ruas Jl. Bulu Bicara II Bidang 1</t>
  </si>
  <si>
    <t>Tanah Ruas Jl. Bulu Bicara II Bidang 2</t>
  </si>
  <si>
    <t>Tanah Ruas Jl. Bulu Bicara II Bidang 3</t>
  </si>
  <si>
    <t>Dinas Lingkungan Hidup dan Kehutanan</t>
  </si>
  <si>
    <t>Kel. Mannanti Kec.Tellulimpoe</t>
  </si>
  <si>
    <t>Tanah Pekuburan</t>
  </si>
  <si>
    <t>Desa Saotengah Kec. Tellulimpoe</t>
  </si>
  <si>
    <t>Desa Lembang Lohe,Tellulimpe</t>
  </si>
  <si>
    <t>Makam Umum/Kuburan Umum</t>
  </si>
  <si>
    <t>Dinas Pemuda dan Olahraga</t>
  </si>
  <si>
    <t>Dusun Lita-litae, Desa Gareccing, Kec. Sinjai Selatan</t>
  </si>
  <si>
    <t>Tanah Lapangan Sirkuit</t>
  </si>
  <si>
    <t>Jl. Persatuan Raya</t>
  </si>
  <si>
    <t>Lapangan Tenis,Taman Bermain,Bangunan Tribune Cakkempong</t>
  </si>
  <si>
    <t>Dinas Pemberdayaan Masyarakat dan Desa</t>
  </si>
  <si>
    <t>Jalan Baso Kalaka</t>
  </si>
  <si>
    <t>Tanah Bangunan Gedung PKK</t>
  </si>
  <si>
    <t>Sekretariat DPRD</t>
  </si>
  <si>
    <t>Jl. Persatuan Raya Kel. Biringere</t>
  </si>
  <si>
    <t>Rujab Ketua DPRD Baru</t>
  </si>
  <si>
    <t>Kecamatan Bulupoddo</t>
  </si>
  <si>
    <t>Kec. Bulupoddo</t>
  </si>
  <si>
    <t>Tanah Bangunan Serba Guna</t>
  </si>
  <si>
    <t>Kelurahan Pasir Putih</t>
  </si>
  <si>
    <t>Lingk. Paroppo Kel.Pasir Putih Kec.S.borong</t>
  </si>
  <si>
    <t>Pesangrahan</t>
  </si>
  <si>
    <t>Pengelola Barang Milik Daerah</t>
  </si>
  <si>
    <t>Dusun Lappacimala Desa Alenangka Kec. Sinjai Selatan</t>
  </si>
  <si>
    <t>Tanah Bangunan Ex. Pasar Lama Bikeru</t>
  </si>
  <si>
    <t>SMP NEG. 6 Sinjai Selatan</t>
  </si>
  <si>
    <t>Penamaan Peta jl. Pattimura</t>
  </si>
  <si>
    <t>Penamaan Peta Jl. Pramuka</t>
  </si>
  <si>
    <t xml:space="preserve">Koreksi Nomor sertipikat pada Peta </t>
  </si>
  <si>
    <t>Penamaan Pada Peta Jl. Titang</t>
  </si>
  <si>
    <t>Penamaan Pada Peta Jl. Udang</t>
  </si>
  <si>
    <t>Penamaan Pada Peta Jl. Pramuka</t>
  </si>
  <si>
    <t>Penamaan Pada Peta Jl. Haji Oemar Said Cokroaminoto</t>
  </si>
  <si>
    <t>Penamaan Pada Peta Jl. Kelapa</t>
  </si>
  <si>
    <t>Penamaan Pada Peta Jl. Haji Agus Salim</t>
  </si>
  <si>
    <t>Penamaan Pada Peta Jl. DR.Sutomo</t>
  </si>
  <si>
    <t xml:space="preserve">Kel. Balangnipa </t>
  </si>
  <si>
    <t>00110</t>
  </si>
  <si>
    <t>Penamaan Pada Peta Jl. veteran</t>
  </si>
  <si>
    <t>Penamaan Pada Peta Jl.Gunung Rinjani</t>
  </si>
  <si>
    <t>Tellulimpoe</t>
  </si>
  <si>
    <t>00070</t>
  </si>
  <si>
    <t>20.12.0000018460</t>
  </si>
  <si>
    <t>20.12.000003826.0</t>
  </si>
  <si>
    <t>20.12.000001847.0</t>
  </si>
  <si>
    <t>20.12.000003825.0</t>
  </si>
  <si>
    <t>20.12.000001845.0</t>
  </si>
  <si>
    <t>20.12.000001848.0</t>
  </si>
  <si>
    <t>Sinjai Selatan</t>
  </si>
  <si>
    <t>Dusun Tonasa, Desa Songing            Kec. S. Selatan</t>
  </si>
  <si>
    <t>Dusun Tonasa, Desa Songing           Kec. S. Selatan</t>
  </si>
  <si>
    <t>Tanah Ruas Jl. Bulu Saraung</t>
  </si>
  <si>
    <t>Dinas Perdagangan Perindustrian dan ESDM</t>
  </si>
  <si>
    <t>Kel. Sangiasseri Kec. Sinjai Selatan</t>
  </si>
  <si>
    <t>Tanah Bangunan Pasar Udo</t>
  </si>
  <si>
    <t>SDN NO. 224 PALAE</t>
  </si>
  <si>
    <t>Palae</t>
  </si>
  <si>
    <t>TK Negeri Songing Sinjai Selatan</t>
  </si>
  <si>
    <t>Jl. Andi Parolai Dusun Tonasa Desa Songing Kec. Sinjai Selatan</t>
  </si>
  <si>
    <t>Tanah Bangunan Gedung Sekolah</t>
  </si>
  <si>
    <t>Tanah Bangunan Pasar Labettang</t>
  </si>
  <si>
    <t>Pustu Songing</t>
  </si>
  <si>
    <t>Bangunan Pustu Songing</t>
  </si>
  <si>
    <t>Tanah Bangunan Pendidikan dan Latihan (Sekolah)</t>
  </si>
  <si>
    <t>TK Neg. Batulappa Sinjai Tengah</t>
  </si>
  <si>
    <t>Desa Matunreng Tellue Sinjai Tengah</t>
  </si>
  <si>
    <t>TK Neg. Aruhu</t>
  </si>
  <si>
    <t>Desa LamattiRiaja Sinjai Utara</t>
  </si>
  <si>
    <t>20.12.000004205.0</t>
  </si>
  <si>
    <t>SD No. 157 Pabeheang</t>
  </si>
  <si>
    <t>Jl. Pers.Raya Desa Saukang Kec. Sinjai Timur</t>
  </si>
  <si>
    <t>20.12.000005279.0</t>
  </si>
  <si>
    <t>SD Neg. 45 Kelas Jauh Lempangeng</t>
  </si>
  <si>
    <t>Dusun Puncak Desa Puncak Kec. Sinjai Selatan</t>
  </si>
  <si>
    <t>20.12.000004138.0</t>
  </si>
  <si>
    <t>SD Negeri No 167 Baru I</t>
  </si>
  <si>
    <t xml:space="preserve">Tanah Bangunan SD Neg. 167 Baru I </t>
  </si>
  <si>
    <t>Tanah Bangunan Sekolah SD Neg.45 Kelas Jauh Lempangeng</t>
  </si>
  <si>
    <t>Tanah Bangunan SD Neg. 157 Pabeheang</t>
  </si>
  <si>
    <t>Dusun Baru Kec. Sinjai Selatan</t>
  </si>
  <si>
    <t>20.12.000004200.0</t>
  </si>
  <si>
    <t>TK Negeri XI Panreng Sinjai Utara</t>
  </si>
  <si>
    <t>Lingkungan Onrong Datu Kel. Lamatti Rilau, Kec. Sinjai Utara</t>
  </si>
  <si>
    <t>Tanah Bangunan TK Neg. IX Panreng</t>
  </si>
  <si>
    <t>20.12.000005681.0</t>
  </si>
  <si>
    <t>TK Negeri Balimengko Sinjai Selatan</t>
  </si>
  <si>
    <t>Desa Songing Kec. Sinjai Selatan</t>
  </si>
  <si>
    <t>Tanah Bangunan TK Neg. Balimengko Sinjai Selatan</t>
  </si>
  <si>
    <t>20.12.000005910.0</t>
  </si>
  <si>
    <t>TK Neg. Manimpahoi</t>
  </si>
  <si>
    <t>Desa Sotengnga Kec. Sinjai Tengah</t>
  </si>
  <si>
    <t>03/2025</t>
  </si>
  <si>
    <t>20.12.000004585.0</t>
  </si>
  <si>
    <t>TK Negeri Mangopi Bulupoddo</t>
  </si>
  <si>
    <t>Desa Tompobulu Kec. Bulupoddo</t>
  </si>
  <si>
    <t>Tanah Bangunan TK Negeri Mangopi</t>
  </si>
  <si>
    <t>20.12.000004139.0</t>
  </si>
  <si>
    <t>Jalan Persatuan Raya Kel.Biringere, Kec. Sinjai Utara</t>
  </si>
  <si>
    <t>Tanah Bangunan Tugu Patung Kuda Mangottong</t>
  </si>
  <si>
    <t>20.12.000005731.0</t>
  </si>
  <si>
    <t>Perkuburan Bulu Tellue</t>
  </si>
  <si>
    <t>Desa Bulu Tellue Kec. Bulupoddo</t>
  </si>
  <si>
    <t>00160</t>
  </si>
  <si>
    <t>Penamaan Pada Peta Jl.DR.Soetomo (1086)</t>
  </si>
  <si>
    <t>20 /20.12.06010101.1</t>
  </si>
  <si>
    <t>00016</t>
  </si>
  <si>
    <t>00011</t>
  </si>
  <si>
    <t>Lamatti Riattang Kec. Bulupoddo</t>
  </si>
  <si>
    <t>X</t>
  </si>
  <si>
    <t>Y</t>
  </si>
  <si>
    <t>Koordinat Longitude</t>
  </si>
  <si>
    <t>Koordinat Latitude</t>
  </si>
  <si>
    <t>-5299120.</t>
  </si>
  <si>
    <t>120.147308</t>
  </si>
  <si>
    <t>120.097481</t>
  </si>
  <si>
    <t>120.275390</t>
  </si>
  <si>
    <t>120.242942</t>
  </si>
  <si>
    <t>120.124594</t>
  </si>
  <si>
    <t>120.071759</t>
  </si>
  <si>
    <t>120.034796</t>
  </si>
  <si>
    <t>120.073623</t>
  </si>
  <si>
    <t>120.065208</t>
  </si>
  <si>
    <t>120.073250</t>
  </si>
  <si>
    <t>120.091132</t>
  </si>
  <si>
    <t>120.248856</t>
  </si>
  <si>
    <t>120.254528</t>
  </si>
  <si>
    <t>120.251838</t>
  </si>
  <si>
    <t>120.250615</t>
  </si>
  <si>
    <t>120.251771</t>
  </si>
  <si>
    <t>120.253102</t>
  </si>
  <si>
    <t>120.257156</t>
  </si>
  <si>
    <t>120.245544</t>
  </si>
  <si>
    <t>120.269111</t>
  </si>
  <si>
    <t>120.246219</t>
  </si>
  <si>
    <t>120.252739</t>
  </si>
  <si>
    <t>120.251492</t>
  </si>
  <si>
    <t>120.253934</t>
  </si>
  <si>
    <t>120.253925</t>
  </si>
  <si>
    <t>120.249876</t>
  </si>
  <si>
    <t>120.256417</t>
  </si>
  <si>
    <t>120.255282</t>
  </si>
  <si>
    <t>120.250983</t>
  </si>
  <si>
    <t>120.254838</t>
  </si>
  <si>
    <t>120.253143</t>
  </si>
  <si>
    <t>120.253870</t>
  </si>
  <si>
    <t>120.254527</t>
  </si>
  <si>
    <t>120.255796</t>
  </si>
  <si>
    <t>120.255244</t>
  </si>
  <si>
    <t>120.258320</t>
  </si>
  <si>
    <t>120.269389</t>
  </si>
  <si>
    <t>120.269847</t>
  </si>
  <si>
    <t>120.270237</t>
  </si>
  <si>
    <t>120.269572</t>
  </si>
  <si>
    <t>120.245253</t>
  </si>
  <si>
    <t>120.246277</t>
  </si>
  <si>
    <t>120.252611</t>
  </si>
  <si>
    <t>120.268473</t>
  </si>
  <si>
    <t>120.248437</t>
  </si>
  <si>
    <t>120.251887</t>
  </si>
  <si>
    <t>120.251688</t>
  </si>
  <si>
    <t>120.246083</t>
  </si>
  <si>
    <t>120.249373</t>
  </si>
  <si>
    <t>120.252747</t>
  </si>
  <si>
    <t>120.257360</t>
  </si>
  <si>
    <t>120.256976</t>
  </si>
  <si>
    <t>120.258635</t>
  </si>
  <si>
    <t>120.257217</t>
  </si>
  <si>
    <t>120.263963</t>
  </si>
  <si>
    <t>120.261344</t>
  </si>
  <si>
    <t>120.261733</t>
  </si>
  <si>
    <t>120.261274</t>
  </si>
  <si>
    <t>120.260974</t>
  </si>
  <si>
    <t>120.259798</t>
  </si>
  <si>
    <t>120.259258</t>
  </si>
  <si>
    <t>120.261035</t>
  </si>
  <si>
    <t>120.262526</t>
  </si>
  <si>
    <t>120.266246</t>
  </si>
  <si>
    <t>120.267712</t>
  </si>
  <si>
    <t>120.248863</t>
  </si>
  <si>
    <t>120.247438</t>
  </si>
  <si>
    <t>120.250044</t>
  </si>
  <si>
    <t>120.254019</t>
  </si>
  <si>
    <t>120.255568</t>
  </si>
  <si>
    <t>120.255034</t>
  </si>
  <si>
    <t>120.256579</t>
  </si>
  <si>
    <t>120.257105</t>
  </si>
  <si>
    <t>120.251850</t>
  </si>
  <si>
    <t>120.255962</t>
  </si>
  <si>
    <t>120.249684</t>
  </si>
  <si>
    <t>120.260848</t>
  </si>
  <si>
    <t>120.249745</t>
  </si>
  <si>
    <t>120.250763</t>
  </si>
  <si>
    <t>120.259011</t>
  </si>
  <si>
    <t>120.258565</t>
  </si>
  <si>
    <t>120.258850</t>
  </si>
  <si>
    <t>120.256480</t>
  </si>
  <si>
    <t>120.260595</t>
  </si>
  <si>
    <t>120.260410</t>
  </si>
  <si>
    <t>120.262949</t>
  </si>
  <si>
    <t>120.264166</t>
  </si>
  <si>
    <t>120.262018</t>
  </si>
  <si>
    <t>120.259587</t>
  </si>
  <si>
    <t>120.258990</t>
  </si>
  <si>
    <t>120.260139</t>
  </si>
  <si>
    <t>120.267908</t>
  </si>
  <si>
    <t>120.265379</t>
  </si>
  <si>
    <t>120.264892</t>
  </si>
  <si>
    <t>120.260012</t>
  </si>
  <si>
    <t>120.259282</t>
  </si>
  <si>
    <t>120.254841</t>
  </si>
  <si>
    <t>120.261765</t>
  </si>
  <si>
    <t>120.258111</t>
  </si>
  <si>
    <t>120.256108</t>
  </si>
  <si>
    <t>120.250157</t>
  </si>
  <si>
    <t>120.246822</t>
  </si>
  <si>
    <t>120.261056</t>
  </si>
  <si>
    <t>.</t>
  </si>
  <si>
    <t>120.247546</t>
  </si>
  <si>
    <t>120.247222</t>
  </si>
  <si>
    <t>120247620</t>
  </si>
  <si>
    <t>120.257017</t>
  </si>
  <si>
    <t>120.253604</t>
  </si>
  <si>
    <t>120.248986</t>
  </si>
  <si>
    <t>120.250092</t>
  </si>
  <si>
    <t>120.255559</t>
  </si>
  <si>
    <t>120.253738</t>
  </si>
  <si>
    <t>120.252804</t>
  </si>
  <si>
    <t>120.253553</t>
  </si>
  <si>
    <t>120.253203</t>
  </si>
  <si>
    <t>120.252663</t>
  </si>
  <si>
    <t>120.252723</t>
  </si>
  <si>
    <t>120.257040</t>
  </si>
  <si>
    <t>120.253531</t>
  </si>
  <si>
    <t>120.253709</t>
  </si>
  <si>
    <t>120.253404</t>
  </si>
  <si>
    <t>120.219808</t>
  </si>
  <si>
    <t>120.179551</t>
  </si>
  <si>
    <t>120.212278</t>
  </si>
  <si>
    <t>120.152939</t>
  </si>
  <si>
    <t>120.253172</t>
  </si>
  <si>
    <t>120.251598</t>
  </si>
  <si>
    <t>120.253151</t>
  </si>
  <si>
    <t>120.156823</t>
  </si>
  <si>
    <t>120.055614</t>
  </si>
  <si>
    <t>120.160884</t>
  </si>
  <si>
    <t>120.253462</t>
  </si>
  <si>
    <t>120.259115</t>
  </si>
  <si>
    <t>120.258704</t>
  </si>
  <si>
    <t>120.146179</t>
  </si>
  <si>
    <t>120.211261</t>
  </si>
  <si>
    <t>120.115909</t>
  </si>
  <si>
    <t>120.206784</t>
  </si>
  <si>
    <t>120.113866</t>
  </si>
  <si>
    <t>120.113942</t>
  </si>
  <si>
    <t>120.167827</t>
  </si>
  <si>
    <t>120.193192</t>
  </si>
  <si>
    <t>120.223749</t>
  </si>
  <si>
    <t>120.093649</t>
  </si>
  <si>
    <t>120.124662</t>
  </si>
  <si>
    <t>120.227328</t>
  </si>
  <si>
    <t>120.130179</t>
  </si>
  <si>
    <t>120.109542</t>
  </si>
  <si>
    <t>120.099881</t>
  </si>
  <si>
    <t>120.242507</t>
  </si>
  <si>
    <t>120.141026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</si>
</sst>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00000"/>
    <numFmt numFmtId="166" formatCode="dd\-mm\-yyyy;@"/>
    <numFmt numFmtId="167" formatCode="0000"/>
    <numFmt numFmtId="168" formatCode="_-* #,##0.00_-;\-* #,##0.00_-;_-* &quot;-&quot;_-;_-@_-"/>
  </numFmts>
  <fonts count="21" x14ac:knownFonts="1">
    <font>
      <sz val="10"/>
      <color rgb="FF000000"/>
      <name val="Times New Roman"/>
      <charset val="204"/>
    </font>
    <font>
      <sz val="9"/>
      <name val="Gill Sans MT"/>
      <family val="2"/>
    </font>
    <font>
      <b/>
      <sz val="7"/>
      <name val="Gill Sans MT"/>
      <family val="2"/>
    </font>
    <font>
      <sz val="7"/>
      <color rgb="FF000000"/>
      <name val="Gill Sans MT"/>
      <family val="2"/>
    </font>
    <font>
      <sz val="7"/>
      <name val="Gill Sans MT"/>
      <family val="2"/>
    </font>
    <font>
      <b/>
      <sz val="7"/>
      <color rgb="FF000000"/>
      <name val="Gill Sans MT"/>
      <family val="2"/>
    </font>
    <font>
      <b/>
      <sz val="12"/>
      <name val="Gill Sans MT"/>
      <family val="2"/>
    </font>
    <font>
      <b/>
      <sz val="11"/>
      <name val="Gill Sans MT"/>
      <family val="2"/>
    </font>
    <font>
      <sz val="9"/>
      <name val="Gill Sans MT"/>
      <family val="2"/>
    </font>
    <font>
      <b/>
      <sz val="7"/>
      <name val="Arial"/>
      <family val="2"/>
    </font>
    <font>
      <sz val="7"/>
      <color rgb="FF000000"/>
      <name val="Arial"/>
      <family val="2"/>
    </font>
    <font>
      <sz val="7"/>
      <name val="Arial"/>
      <family val="2"/>
    </font>
    <font>
      <sz val="10"/>
      <color rgb="FF000000"/>
      <name val="Arial"/>
      <family val="2"/>
    </font>
    <font>
      <b/>
      <sz val="7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mbria"/>
      <family val="1"/>
      <scheme val="maj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8" fillId="0" borderId="0" applyFont="0" applyFill="0" applyBorder="0" applyAlignment="0" applyProtection="0"/>
  </cellStyleXfs>
  <cellXfs count="110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4" fontId="3" fillId="0" borderId="1" xfId="0" applyNumberFormat="1" applyFont="1" applyFill="1" applyBorder="1" applyAlignment="1">
      <alignment horizontal="right" vertical="top" shrinkToFit="1"/>
    </xf>
    <xf numFmtId="4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1" fontId="5" fillId="0" borderId="1" xfId="0" applyNumberFormat="1" applyFont="1" applyFill="1" applyBorder="1" applyAlignment="1">
      <alignment horizontal="center" vertical="top" shrinkToFit="1"/>
    </xf>
    <xf numFmtId="4" fontId="5" fillId="0" borderId="1" xfId="0" applyNumberFormat="1" applyFont="1" applyFill="1" applyBorder="1" applyAlignment="1">
      <alignment horizontal="right" vertical="top" shrinkToFit="1"/>
    </xf>
    <xf numFmtId="4" fontId="5" fillId="0" borderId="1" xfId="0" applyNumberFormat="1" applyFont="1" applyFill="1" applyBorder="1" applyAlignment="1">
      <alignment horizontal="center" vertical="top" shrinkToFit="1"/>
    </xf>
    <xf numFmtId="0" fontId="9" fillId="0" borderId="7" xfId="0" applyFont="1" applyFill="1" applyBorder="1" applyAlignment="1">
      <alignment horizontal="center" vertical="top" wrapText="1"/>
    </xf>
    <xf numFmtId="0" fontId="9" fillId="0" borderId="7" xfId="0" applyFont="1" applyFill="1" applyBorder="1" applyAlignment="1">
      <alignment vertical="top" wrapText="1"/>
    </xf>
    <xf numFmtId="1" fontId="10" fillId="0" borderId="1" xfId="0" applyNumberFormat="1" applyFont="1" applyFill="1" applyBorder="1" applyAlignment="1">
      <alignment horizontal="center" vertical="top" shrinkToFit="1"/>
    </xf>
    <xf numFmtId="0" fontId="11" fillId="0" borderId="2" xfId="0" applyFont="1" applyFill="1" applyBorder="1" applyAlignment="1">
      <alignment horizontal="left" vertical="top" wrapText="1"/>
    </xf>
    <xf numFmtId="0" fontId="12" fillId="0" borderId="7" xfId="0" applyFont="1" applyFill="1" applyBorder="1" applyAlignment="1">
      <alignment horizontal="left" vertical="top"/>
    </xf>
    <xf numFmtId="0" fontId="11" fillId="0" borderId="8" xfId="0" applyFont="1" applyFill="1" applyBorder="1" applyAlignment="1">
      <alignment horizontal="left" vertical="top" wrapText="1"/>
    </xf>
    <xf numFmtId="0" fontId="12" fillId="0" borderId="1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0" fontId="9" fillId="0" borderId="7" xfId="0" applyFont="1" applyFill="1" applyBorder="1" applyAlignment="1">
      <alignment horizontal="left" vertical="top" wrapText="1"/>
    </xf>
    <xf numFmtId="0" fontId="13" fillId="0" borderId="7" xfId="0" applyFont="1" applyFill="1" applyBorder="1" applyAlignment="1">
      <alignment horizontal="left" vertical="top"/>
    </xf>
    <xf numFmtId="4" fontId="12" fillId="0" borderId="4" xfId="0" applyNumberFormat="1" applyFont="1" applyFill="1" applyBorder="1" applyAlignment="1">
      <alignment horizontal="left" vertical="top" shrinkToFit="1"/>
    </xf>
    <xf numFmtId="0" fontId="14" fillId="0" borderId="7" xfId="0" applyFont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/>
    </xf>
    <xf numFmtId="0" fontId="15" fillId="0" borderId="7" xfId="0" applyFont="1" applyFill="1" applyBorder="1" applyAlignment="1">
      <alignment horizontal="center" vertical="center"/>
    </xf>
    <xf numFmtId="165" fontId="15" fillId="0" borderId="1" xfId="0" applyNumberFormat="1" applyFont="1" applyFill="1" applyBorder="1" applyAlignment="1">
      <alignment horizontal="center" vertical="center" shrinkToFit="1"/>
    </xf>
    <xf numFmtId="167" fontId="15" fillId="0" borderId="1" xfId="0" applyNumberFormat="1" applyFont="1" applyFill="1" applyBorder="1" applyAlignment="1">
      <alignment horizontal="center" vertical="center" shrinkToFit="1"/>
    </xf>
    <xf numFmtId="0" fontId="16" fillId="0" borderId="1" xfId="0" applyFont="1" applyFill="1" applyBorder="1" applyAlignment="1">
      <alignment horizontal="center" vertical="center" wrapText="1"/>
    </xf>
    <xf numFmtId="4" fontId="15" fillId="0" borderId="1" xfId="0" applyNumberFormat="1" applyFont="1" applyFill="1" applyBorder="1" applyAlignment="1">
      <alignment horizontal="center" vertical="center" shrinkToFit="1"/>
    </xf>
    <xf numFmtId="166" fontId="15" fillId="0" borderId="1" xfId="0" applyNumberFormat="1" applyFont="1" applyFill="1" applyBorder="1" applyAlignment="1">
      <alignment horizontal="center" vertical="center" shrinkToFit="1"/>
    </xf>
    <xf numFmtId="2" fontId="15" fillId="0" borderId="1" xfId="0" applyNumberFormat="1" applyFont="1" applyFill="1" applyBorder="1" applyAlignment="1">
      <alignment horizontal="center" vertical="center" shrinkToFit="1"/>
    </xf>
    <xf numFmtId="0" fontId="15" fillId="0" borderId="7" xfId="0" applyFont="1" applyFill="1" applyBorder="1" applyAlignment="1">
      <alignment horizontal="left" vertical="top"/>
    </xf>
    <xf numFmtId="0" fontId="15" fillId="0" borderId="7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" fontId="15" fillId="0" borderId="1" xfId="0" quotePrefix="1" applyNumberFormat="1" applyFont="1" applyFill="1" applyBorder="1" applyAlignment="1">
      <alignment horizontal="center" vertical="center" shrinkToFit="1"/>
    </xf>
    <xf numFmtId="3" fontId="15" fillId="0" borderId="7" xfId="0" applyNumberFormat="1" applyFont="1" applyFill="1" applyBorder="1" applyAlignment="1">
      <alignment horizontal="center" vertical="center"/>
    </xf>
    <xf numFmtId="0" fontId="16" fillId="0" borderId="1" xfId="0" quotePrefix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168" fontId="15" fillId="0" borderId="1" xfId="1" applyNumberFormat="1" applyFont="1" applyFill="1" applyBorder="1" applyAlignment="1">
      <alignment horizontal="center" vertical="center" shrinkToFit="1"/>
    </xf>
    <xf numFmtId="14" fontId="16" fillId="0" borderId="1" xfId="0" applyNumberFormat="1" applyFont="1" applyFill="1" applyBorder="1" applyAlignment="1">
      <alignment horizontal="center" vertical="center" wrapText="1"/>
    </xf>
    <xf numFmtId="165" fontId="15" fillId="0" borderId="1" xfId="0" quotePrefix="1" applyNumberFormat="1" applyFont="1" applyFill="1" applyBorder="1" applyAlignment="1">
      <alignment horizontal="center" vertical="center" shrinkToFit="1"/>
    </xf>
    <xf numFmtId="168" fontId="16" fillId="0" borderId="1" xfId="1" applyNumberFormat="1" applyFont="1" applyFill="1" applyBorder="1" applyAlignment="1">
      <alignment horizontal="center" vertical="center" wrapText="1"/>
    </xf>
    <xf numFmtId="0" fontId="18" fillId="0" borderId="7" xfId="0" quotePrefix="1" applyFont="1" applyFill="1" applyBorder="1" applyAlignment="1">
      <alignment horizontal="left" vertical="top"/>
    </xf>
    <xf numFmtId="0" fontId="18" fillId="0" borderId="7" xfId="0" applyFont="1" applyFill="1" applyBorder="1" applyAlignment="1">
      <alignment horizontal="left" vertical="top"/>
    </xf>
    <xf numFmtId="0" fontId="19" fillId="0" borderId="7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left" vertical="top"/>
    </xf>
    <xf numFmtId="0" fontId="19" fillId="0" borderId="7" xfId="0" applyFont="1" applyFill="1" applyBorder="1" applyAlignment="1">
      <alignment horizontal="left" vertical="top" wrapText="1"/>
    </xf>
    <xf numFmtId="14" fontId="19" fillId="0" borderId="7" xfId="0" applyNumberFormat="1" applyFont="1" applyFill="1" applyBorder="1" applyAlignment="1">
      <alignment horizontal="left" vertical="top"/>
    </xf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 vertical="top"/>
    </xf>
    <xf numFmtId="14" fontId="19" fillId="0" borderId="0" xfId="0" applyNumberFormat="1" applyFont="1" applyFill="1" applyBorder="1" applyAlignment="1">
      <alignment horizontal="left" vertical="top"/>
    </xf>
    <xf numFmtId="0" fontId="19" fillId="0" borderId="1" xfId="0" applyFont="1" applyBorder="1" applyAlignment="1">
      <alignment vertical="center" wrapText="1"/>
    </xf>
    <xf numFmtId="0" fontId="20" fillId="0" borderId="7" xfId="0" applyFont="1" applyFill="1" applyBorder="1" applyAlignment="1">
      <alignment horizontal="left" vertical="top"/>
    </xf>
    <xf numFmtId="0" fontId="20" fillId="0" borderId="7" xfId="0" applyFont="1" applyFill="1" applyBorder="1" applyAlignment="1">
      <alignment horizontal="left" vertical="top" wrapText="1"/>
    </xf>
    <xf numFmtId="14" fontId="20" fillId="0" borderId="7" xfId="0" applyNumberFormat="1" applyFont="1" applyFill="1" applyBorder="1" applyAlignment="1">
      <alignment horizontal="left" vertical="top"/>
    </xf>
    <xf numFmtId="0" fontId="20" fillId="0" borderId="7" xfId="0" applyFont="1" applyFill="1" applyBorder="1" applyAlignment="1">
      <alignment horizontal="left" vertical="center"/>
    </xf>
    <xf numFmtId="0" fontId="20" fillId="0" borderId="7" xfId="0" quotePrefix="1" applyFont="1" applyFill="1" applyBorder="1" applyAlignment="1">
      <alignment horizontal="left" vertical="top"/>
    </xf>
    <xf numFmtId="0" fontId="19" fillId="0" borderId="7" xfId="0" quotePrefix="1" applyFont="1" applyFill="1" applyBorder="1" applyAlignment="1">
      <alignment horizontal="left" vertical="center" wrapText="1"/>
    </xf>
    <xf numFmtId="0" fontId="19" fillId="0" borderId="0" xfId="0" quotePrefix="1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2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6"/>
    </xf>
    <xf numFmtId="0" fontId="2" fillId="0" borderId="3" xfId="0" applyFont="1" applyFill="1" applyBorder="1" applyAlignment="1">
      <alignment horizontal="left" vertical="top" wrapText="1" indent="6"/>
    </xf>
    <xf numFmtId="0" fontId="2" fillId="0" borderId="4" xfId="0" applyFont="1" applyFill="1" applyBorder="1" applyAlignment="1">
      <alignment horizontal="left" vertical="top" wrapText="1" indent="6"/>
    </xf>
    <xf numFmtId="0" fontId="2" fillId="0" borderId="2" xfId="0" applyFont="1" applyFill="1" applyBorder="1" applyAlignment="1">
      <alignment horizontal="left" vertical="top" wrapText="1" indent="5"/>
    </xf>
    <xf numFmtId="0" fontId="2" fillId="0" borderId="3" xfId="0" applyFont="1" applyFill="1" applyBorder="1" applyAlignment="1">
      <alignment horizontal="left" vertical="top" wrapText="1" indent="5"/>
    </xf>
    <xf numFmtId="0" fontId="2" fillId="0" borderId="4" xfId="0" applyFont="1" applyFill="1" applyBorder="1" applyAlignment="1">
      <alignment horizontal="left" vertical="top" wrapText="1" indent="5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1" fontId="3" fillId="0" borderId="2" xfId="0" applyNumberFormat="1" applyFont="1" applyFill="1" applyBorder="1" applyAlignment="1">
      <alignment horizontal="center" vertical="top" shrinkToFit="1"/>
    </xf>
    <xf numFmtId="1" fontId="3" fillId="0" borderId="4" xfId="0" applyNumberFormat="1" applyFont="1" applyFill="1" applyBorder="1" applyAlignment="1">
      <alignment horizontal="center" vertical="top" shrinkToFit="1"/>
    </xf>
    <xf numFmtId="4" fontId="3" fillId="0" borderId="2" xfId="0" applyNumberFormat="1" applyFont="1" applyFill="1" applyBorder="1" applyAlignment="1">
      <alignment horizontal="left" vertical="top" indent="1" shrinkToFit="1"/>
    </xf>
    <xf numFmtId="4" fontId="3" fillId="0" borderId="4" xfId="0" applyNumberFormat="1" applyFont="1" applyFill="1" applyBorder="1" applyAlignment="1">
      <alignment horizontal="left" vertical="top" indent="1" shrinkToFit="1"/>
    </xf>
    <xf numFmtId="4" fontId="5" fillId="0" borderId="2" xfId="0" applyNumberFormat="1" applyFont="1" applyFill="1" applyBorder="1" applyAlignment="1">
      <alignment horizontal="left" vertical="top" shrinkToFit="1"/>
    </xf>
    <xf numFmtId="4" fontId="5" fillId="0" borderId="4" xfId="0" applyNumberFormat="1" applyFont="1" applyFill="1" applyBorder="1" applyAlignment="1">
      <alignment horizontal="left" vertical="top" shrinkToFit="1"/>
    </xf>
    <xf numFmtId="4" fontId="3" fillId="0" borderId="2" xfId="0" applyNumberFormat="1" applyFont="1" applyFill="1" applyBorder="1" applyAlignment="1">
      <alignment horizontal="left" vertical="top" shrinkToFit="1"/>
    </xf>
    <xf numFmtId="4" fontId="3" fillId="0" borderId="4" xfId="0" applyNumberFormat="1" applyFont="1" applyFill="1" applyBorder="1" applyAlignment="1">
      <alignment horizontal="left" vertical="top" shrinkToFit="1"/>
    </xf>
    <xf numFmtId="0" fontId="9" fillId="0" borderId="7" xfId="0" applyFont="1" applyFill="1" applyBorder="1" applyAlignment="1">
      <alignment horizontal="center" vertical="top" wrapText="1"/>
    </xf>
    <xf numFmtId="0" fontId="9" fillId="0" borderId="5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3" fontId="15" fillId="0" borderId="7" xfId="0" applyNumberFormat="1" applyFont="1" applyFill="1" applyBorder="1" applyAlignment="1">
      <alignment horizontal="left" vertical="center"/>
    </xf>
    <xf numFmtId="3" fontId="15" fillId="0" borderId="7" xfId="0" applyNumberFormat="1" applyFont="1" applyFill="1" applyBorder="1" applyAlignment="1">
      <alignment horizontal="left" vertical="top"/>
    </xf>
    <xf numFmtId="3" fontId="16" fillId="0" borderId="1" xfId="0" applyNumberFormat="1" applyFont="1" applyFill="1" applyBorder="1" applyAlignment="1">
      <alignment horizontal="center" vertical="center" wrapText="1"/>
    </xf>
    <xf numFmtId="3" fontId="19" fillId="0" borderId="7" xfId="0" applyNumberFormat="1" applyFont="1" applyFill="1" applyBorder="1" applyAlignment="1">
      <alignment horizontal="left" vertical="center"/>
    </xf>
    <xf numFmtId="3" fontId="19" fillId="0" borderId="0" xfId="0" applyNumberFormat="1" applyFont="1" applyFill="1" applyBorder="1" applyAlignment="1">
      <alignment horizontal="left" vertical="top"/>
    </xf>
    <xf numFmtId="3" fontId="0" fillId="0" borderId="7" xfId="0" applyNumberFormat="1" applyFill="1" applyBorder="1" applyAlignment="1">
      <alignment horizontal="left" vertical="center"/>
    </xf>
    <xf numFmtId="3" fontId="0" fillId="0" borderId="7" xfId="0" applyNumberFormat="1" applyFill="1" applyBorder="1" applyAlignment="1">
      <alignment horizontal="left" vertical="top"/>
    </xf>
    <xf numFmtId="49" fontId="16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left" vertical="top"/>
    </xf>
    <xf numFmtId="49" fontId="16" fillId="0" borderId="0" xfId="0" applyNumberFormat="1" applyFont="1" applyFill="1" applyBorder="1" applyAlignment="1">
      <alignment horizontal="left" vertical="center" wrapText="1"/>
    </xf>
    <xf numFmtId="49" fontId="16" fillId="0" borderId="1" xfId="0" applyNumberFormat="1" applyFont="1" applyFill="1" applyBorder="1" applyAlignment="1">
      <alignment horizontal="left" vertical="center" wrapText="1"/>
    </xf>
    <xf numFmtId="49" fontId="19" fillId="0" borderId="0" xfId="0" applyNumberFormat="1" applyFont="1" applyBorder="1" applyAlignment="1">
      <alignment vertical="center" wrapText="1"/>
    </xf>
    <xf numFmtId="49" fontId="20" fillId="0" borderId="7" xfId="0" applyNumberFormat="1" applyFont="1" applyFill="1" applyBorder="1" applyAlignment="1">
      <alignment horizontal="left" vertical="top" wrapText="1"/>
    </xf>
    <xf numFmtId="49" fontId="20" fillId="0" borderId="7" xfId="0" applyNumberFormat="1" applyFont="1" applyFill="1" applyBorder="1" applyAlignment="1">
      <alignment horizontal="left" vertical="top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85852</xdr:colOff>
      <xdr:row>0</xdr:row>
      <xdr:rowOff>23787</xdr:rowOff>
    </xdr:from>
    <xdr:ext cx="761237" cy="76123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1237" cy="7612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workbookViewId="0">
      <selection activeCell="O8" sqref="O8"/>
    </sheetView>
  </sheetViews>
  <sheetFormatPr defaultRowHeight="12.75" x14ac:dyDescent="0.2"/>
  <cols>
    <col min="1" max="1" width="3.83203125" customWidth="1"/>
    <col min="2" max="2" width="11.1640625" customWidth="1"/>
    <col min="3" max="3" width="7.33203125" customWidth="1"/>
    <col min="4" max="4" width="2.1640625" customWidth="1"/>
    <col min="5" max="5" width="9.5" customWidth="1"/>
    <col min="6" max="6" width="17.1640625" customWidth="1"/>
    <col min="7" max="7" width="7.33203125" customWidth="1"/>
    <col min="8" max="8" width="11.83203125" customWidth="1"/>
    <col min="9" max="9" width="17.33203125" customWidth="1"/>
    <col min="10" max="10" width="7.33203125" customWidth="1"/>
    <col min="11" max="11" width="11.5" customWidth="1"/>
    <col min="12" max="12" width="17.1640625" customWidth="1"/>
  </cols>
  <sheetData>
    <row r="1" spans="1:12" ht="63.75" customHeight="1" x14ac:dyDescent="0.2">
      <c r="A1" s="61"/>
      <c r="B1" s="62"/>
      <c r="C1" s="62"/>
      <c r="D1" s="63"/>
      <c r="E1" s="64" t="s">
        <v>0</v>
      </c>
      <c r="F1" s="65"/>
      <c r="G1" s="65"/>
      <c r="H1" s="65"/>
      <c r="I1" s="65"/>
      <c r="J1" s="65"/>
      <c r="K1" s="65"/>
      <c r="L1" s="66"/>
    </row>
    <row r="2" spans="1:12" ht="45" customHeight="1" x14ac:dyDescent="0.2">
      <c r="A2" s="67" t="s">
        <v>18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</row>
    <row r="3" spans="1:12" ht="13.15" customHeight="1" x14ac:dyDescent="0.2">
      <c r="A3" s="70" t="s">
        <v>1</v>
      </c>
      <c r="B3" s="70" t="s">
        <v>2</v>
      </c>
      <c r="C3" s="72" t="s">
        <v>3</v>
      </c>
      <c r="D3" s="73"/>
      <c r="E3" s="73"/>
      <c r="F3" s="74"/>
      <c r="G3" s="75" t="s">
        <v>4</v>
      </c>
      <c r="H3" s="76"/>
      <c r="I3" s="77"/>
      <c r="J3" s="78" t="s">
        <v>5</v>
      </c>
      <c r="K3" s="79"/>
      <c r="L3" s="80"/>
    </row>
    <row r="4" spans="1:12" ht="12.4" customHeight="1" x14ac:dyDescent="0.2">
      <c r="A4" s="71"/>
      <c r="B4" s="71"/>
      <c r="C4" s="1" t="s">
        <v>6</v>
      </c>
      <c r="D4" s="81" t="s">
        <v>7</v>
      </c>
      <c r="E4" s="82"/>
      <c r="F4" s="1" t="s">
        <v>8</v>
      </c>
      <c r="G4" s="1" t="s">
        <v>6</v>
      </c>
      <c r="H4" s="1" t="s">
        <v>7</v>
      </c>
      <c r="I4" s="1" t="s">
        <v>8</v>
      </c>
      <c r="J4" s="1" t="s">
        <v>6</v>
      </c>
      <c r="K4" s="1" t="s">
        <v>7</v>
      </c>
      <c r="L4" s="1" t="s">
        <v>8</v>
      </c>
    </row>
    <row r="5" spans="1:12" ht="12.4" customHeight="1" x14ac:dyDescent="0.2">
      <c r="A5" s="2">
        <v>1</v>
      </c>
      <c r="B5" s="2">
        <v>2</v>
      </c>
      <c r="C5" s="2">
        <v>3</v>
      </c>
      <c r="D5" s="83">
        <v>4</v>
      </c>
      <c r="E5" s="84"/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</row>
    <row r="6" spans="1:12" ht="12.4" customHeight="1" x14ac:dyDescent="0.2">
      <c r="A6" s="2">
        <v>1</v>
      </c>
      <c r="B6" s="3" t="s">
        <v>9</v>
      </c>
      <c r="C6" s="2">
        <v>63</v>
      </c>
      <c r="D6" s="85">
        <v>204095</v>
      </c>
      <c r="E6" s="86"/>
      <c r="F6" s="4">
        <v>7015510377</v>
      </c>
      <c r="G6" s="2">
        <v>14</v>
      </c>
      <c r="H6" s="5">
        <v>71646</v>
      </c>
      <c r="I6" s="4">
        <v>2248805450</v>
      </c>
      <c r="J6" s="2">
        <v>77</v>
      </c>
      <c r="K6" s="5">
        <v>275741</v>
      </c>
      <c r="L6" s="4">
        <v>9264315827</v>
      </c>
    </row>
    <row r="7" spans="1:12" ht="20.65" customHeight="1" x14ac:dyDescent="0.2">
      <c r="A7" s="2">
        <v>2</v>
      </c>
      <c r="B7" s="6" t="s">
        <v>10</v>
      </c>
      <c r="C7" s="2">
        <v>64</v>
      </c>
      <c r="D7" s="85">
        <v>245255</v>
      </c>
      <c r="E7" s="86"/>
      <c r="F7" s="4">
        <v>5439720256</v>
      </c>
      <c r="G7" s="2">
        <v>18</v>
      </c>
      <c r="H7" s="5">
        <v>28374</v>
      </c>
      <c r="I7" s="4">
        <v>511087500</v>
      </c>
      <c r="J7" s="2">
        <v>82</v>
      </c>
      <c r="K7" s="5">
        <v>273629</v>
      </c>
      <c r="L7" s="4">
        <v>5950807756</v>
      </c>
    </row>
    <row r="8" spans="1:12" ht="12.4" customHeight="1" x14ac:dyDescent="0.2">
      <c r="A8" s="2">
        <v>3</v>
      </c>
      <c r="B8" s="3" t="s">
        <v>11</v>
      </c>
      <c r="C8" s="2">
        <v>49</v>
      </c>
      <c r="D8" s="85">
        <v>134467</v>
      </c>
      <c r="E8" s="86"/>
      <c r="F8" s="4">
        <v>7087619900</v>
      </c>
      <c r="G8" s="2">
        <v>7</v>
      </c>
      <c r="H8" s="5">
        <v>33571</v>
      </c>
      <c r="I8" s="4">
        <v>1549150000</v>
      </c>
      <c r="J8" s="2">
        <v>56</v>
      </c>
      <c r="K8" s="5">
        <v>168038</v>
      </c>
      <c r="L8" s="4">
        <v>8636769900</v>
      </c>
    </row>
    <row r="9" spans="1:12" ht="20.65" customHeight="1" x14ac:dyDescent="0.2">
      <c r="A9" s="2">
        <v>4</v>
      </c>
      <c r="B9" s="6" t="s">
        <v>12</v>
      </c>
      <c r="C9" s="2">
        <v>59</v>
      </c>
      <c r="D9" s="85">
        <v>160224</v>
      </c>
      <c r="E9" s="86"/>
      <c r="F9" s="4">
        <v>5166026813</v>
      </c>
      <c r="G9" s="2">
        <v>18</v>
      </c>
      <c r="H9" s="5">
        <v>36234</v>
      </c>
      <c r="I9" s="4">
        <v>1535781000</v>
      </c>
      <c r="J9" s="2">
        <v>77</v>
      </c>
      <c r="K9" s="5">
        <v>196458</v>
      </c>
      <c r="L9" s="4">
        <v>6701807813</v>
      </c>
    </row>
    <row r="10" spans="1:12" ht="12.4" customHeight="1" x14ac:dyDescent="0.2">
      <c r="A10" s="2">
        <v>5</v>
      </c>
      <c r="B10" s="3" t="s">
        <v>13</v>
      </c>
      <c r="C10" s="2">
        <v>386</v>
      </c>
      <c r="D10" s="89">
        <v>1773118</v>
      </c>
      <c r="E10" s="90"/>
      <c r="F10" s="4">
        <v>182818931257</v>
      </c>
      <c r="G10" s="2">
        <v>363</v>
      </c>
      <c r="H10" s="5">
        <v>1777562.5</v>
      </c>
      <c r="I10" s="4">
        <v>145953055404</v>
      </c>
      <c r="J10" s="2">
        <v>749</v>
      </c>
      <c r="K10" s="5">
        <v>3550680.5</v>
      </c>
      <c r="L10" s="4">
        <v>328771986661</v>
      </c>
    </row>
    <row r="11" spans="1:12" ht="12.4" customHeight="1" x14ac:dyDescent="0.2">
      <c r="A11" s="2">
        <v>6</v>
      </c>
      <c r="B11" s="3" t="s">
        <v>14</v>
      </c>
      <c r="C11" s="2">
        <v>48</v>
      </c>
      <c r="D11" s="85">
        <v>197132</v>
      </c>
      <c r="E11" s="86"/>
      <c r="F11" s="4">
        <v>4194478320</v>
      </c>
      <c r="G11" s="2">
        <v>20</v>
      </c>
      <c r="H11" s="5">
        <v>49444</v>
      </c>
      <c r="I11" s="4">
        <v>1621436600</v>
      </c>
      <c r="J11" s="2">
        <v>68</v>
      </c>
      <c r="K11" s="5">
        <v>246576</v>
      </c>
      <c r="L11" s="4">
        <v>5815914920</v>
      </c>
    </row>
    <row r="12" spans="1:12" ht="20.65" customHeight="1" x14ac:dyDescent="0.2">
      <c r="A12" s="2">
        <v>7</v>
      </c>
      <c r="B12" s="6" t="s">
        <v>15</v>
      </c>
      <c r="C12" s="2">
        <v>56</v>
      </c>
      <c r="D12" s="85">
        <v>156527</v>
      </c>
      <c r="E12" s="86"/>
      <c r="F12" s="4">
        <v>3662727572</v>
      </c>
      <c r="G12" s="2">
        <v>13</v>
      </c>
      <c r="H12" s="5">
        <v>49324</v>
      </c>
      <c r="I12" s="4">
        <v>1228829100</v>
      </c>
      <c r="J12" s="2">
        <v>69</v>
      </c>
      <c r="K12" s="5">
        <v>205851</v>
      </c>
      <c r="L12" s="4">
        <v>4891556672</v>
      </c>
    </row>
    <row r="13" spans="1:12" ht="20.65" customHeight="1" x14ac:dyDescent="0.2">
      <c r="A13" s="2">
        <v>8</v>
      </c>
      <c r="B13" s="6" t="s">
        <v>16</v>
      </c>
      <c r="C13" s="2">
        <v>57</v>
      </c>
      <c r="D13" s="85">
        <v>209107</v>
      </c>
      <c r="E13" s="86"/>
      <c r="F13" s="4">
        <v>6105652975</v>
      </c>
      <c r="G13" s="2">
        <v>16</v>
      </c>
      <c r="H13" s="5">
        <v>43930</v>
      </c>
      <c r="I13" s="4">
        <v>495090000</v>
      </c>
      <c r="J13" s="2">
        <v>73</v>
      </c>
      <c r="K13" s="5">
        <v>253037</v>
      </c>
      <c r="L13" s="4">
        <v>6600742975</v>
      </c>
    </row>
    <row r="14" spans="1:12" ht="20.65" customHeight="1" x14ac:dyDescent="0.2">
      <c r="A14" s="2">
        <v>9</v>
      </c>
      <c r="B14" s="6" t="s">
        <v>17</v>
      </c>
      <c r="C14" s="2">
        <v>33</v>
      </c>
      <c r="D14" s="85">
        <v>21636</v>
      </c>
      <c r="E14" s="86"/>
      <c r="F14" s="4">
        <v>510713500</v>
      </c>
      <c r="G14" s="2">
        <v>8</v>
      </c>
      <c r="H14" s="5">
        <v>3247</v>
      </c>
      <c r="I14" s="4">
        <v>234325000</v>
      </c>
      <c r="J14" s="2">
        <v>41</v>
      </c>
      <c r="K14" s="5">
        <v>24883</v>
      </c>
      <c r="L14" s="4">
        <v>745038500</v>
      </c>
    </row>
    <row r="15" spans="1:12" ht="12.4" customHeight="1" x14ac:dyDescent="0.2">
      <c r="A15" s="7"/>
      <c r="B15" s="7"/>
      <c r="C15" s="8">
        <v>815</v>
      </c>
      <c r="D15" s="87">
        <v>3101561</v>
      </c>
      <c r="E15" s="88"/>
      <c r="F15" s="9">
        <v>222001380970</v>
      </c>
      <c r="G15" s="8">
        <v>477</v>
      </c>
      <c r="H15" s="10">
        <v>2093332.5</v>
      </c>
      <c r="I15" s="9">
        <v>155377560054</v>
      </c>
      <c r="J15" s="8">
        <v>1292</v>
      </c>
      <c r="K15" s="10">
        <v>5194893.5</v>
      </c>
      <c r="L15" s="9">
        <v>377378941024</v>
      </c>
    </row>
  </sheetData>
  <mergeCells count="20">
    <mergeCell ref="D15:E15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D9:E9"/>
    <mergeCell ref="A1:D1"/>
    <mergeCell ref="E1:L1"/>
    <mergeCell ref="A2:L2"/>
    <mergeCell ref="A3:A4"/>
    <mergeCell ref="B3:B4"/>
    <mergeCell ref="C3:F3"/>
    <mergeCell ref="G3:I3"/>
    <mergeCell ref="J3:L3"/>
    <mergeCell ref="D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K3" sqref="K3"/>
    </sheetView>
  </sheetViews>
  <sheetFormatPr defaultRowHeight="12.75" x14ac:dyDescent="0.2"/>
  <cols>
    <col min="2" max="2" width="17.6640625" customWidth="1"/>
    <col min="4" max="4" width="12.6640625" customWidth="1"/>
    <col min="6" max="6" width="10.6640625" bestFit="1" customWidth="1"/>
    <col min="8" max="8" width="10.6640625" bestFit="1" customWidth="1"/>
    <col min="10" max="10" width="10.6640625" bestFit="1" customWidth="1"/>
    <col min="12" max="12" width="10.6640625" bestFit="1" customWidth="1"/>
  </cols>
  <sheetData>
    <row r="1" spans="1:12" ht="22.5" customHeight="1" x14ac:dyDescent="0.2">
      <c r="A1" s="92" t="s">
        <v>20</v>
      </c>
      <c r="B1" s="94" t="s">
        <v>21</v>
      </c>
      <c r="C1" s="91">
        <v>2021</v>
      </c>
      <c r="D1" s="91"/>
      <c r="E1" s="91">
        <v>2022</v>
      </c>
      <c r="F1" s="91"/>
      <c r="G1" s="91">
        <v>2023</v>
      </c>
      <c r="H1" s="91"/>
      <c r="I1" s="91">
        <v>2024</v>
      </c>
      <c r="J1" s="91"/>
      <c r="K1" s="91">
        <v>2025</v>
      </c>
      <c r="L1" s="91"/>
    </row>
    <row r="2" spans="1:12" ht="12.75" customHeight="1" x14ac:dyDescent="0.2">
      <c r="A2" s="93"/>
      <c r="B2" s="95"/>
      <c r="C2" s="11" t="s">
        <v>22</v>
      </c>
      <c r="D2" s="12" t="s">
        <v>23</v>
      </c>
      <c r="E2" s="11" t="s">
        <v>22</v>
      </c>
      <c r="F2" s="12" t="s">
        <v>23</v>
      </c>
      <c r="G2" s="11" t="s">
        <v>22</v>
      </c>
      <c r="H2" s="12" t="s">
        <v>23</v>
      </c>
      <c r="I2" s="11" t="s">
        <v>22</v>
      </c>
      <c r="J2" s="12" t="s">
        <v>23</v>
      </c>
      <c r="K2" s="11" t="s">
        <v>22</v>
      </c>
      <c r="L2" s="12" t="s">
        <v>23</v>
      </c>
    </row>
    <row r="3" spans="1:12" x14ac:dyDescent="0.2">
      <c r="A3" s="13">
        <v>1</v>
      </c>
      <c r="B3" s="14" t="s">
        <v>24</v>
      </c>
      <c r="C3" s="15" t="s">
        <v>33</v>
      </c>
      <c r="D3" s="15">
        <v>0</v>
      </c>
      <c r="E3" s="15" t="s">
        <v>33</v>
      </c>
      <c r="F3" s="15">
        <v>0</v>
      </c>
      <c r="G3" s="15" t="s">
        <v>33</v>
      </c>
      <c r="H3" s="15">
        <v>0</v>
      </c>
      <c r="I3" s="15" t="s">
        <v>33</v>
      </c>
      <c r="J3" s="15">
        <v>0</v>
      </c>
      <c r="K3" s="21" t="s">
        <v>33</v>
      </c>
      <c r="L3" s="15">
        <v>0</v>
      </c>
    </row>
    <row r="4" spans="1:12" x14ac:dyDescent="0.2">
      <c r="A4" s="13">
        <v>2</v>
      </c>
      <c r="B4" s="14" t="s">
        <v>25</v>
      </c>
      <c r="C4" s="15">
        <v>2</v>
      </c>
      <c r="D4" s="15">
        <v>6216</v>
      </c>
      <c r="E4" s="15">
        <v>2</v>
      </c>
      <c r="F4" s="15">
        <v>53490</v>
      </c>
      <c r="G4" s="15">
        <v>1</v>
      </c>
      <c r="H4" s="15">
        <v>361</v>
      </c>
      <c r="I4" s="15">
        <v>6</v>
      </c>
      <c r="J4" s="15">
        <v>355000</v>
      </c>
      <c r="K4" s="21">
        <v>3</v>
      </c>
      <c r="L4" s="15">
        <v>2510</v>
      </c>
    </row>
    <row r="5" spans="1:12" x14ac:dyDescent="0.2">
      <c r="A5" s="13">
        <v>3</v>
      </c>
      <c r="B5" s="14" t="s">
        <v>26</v>
      </c>
      <c r="C5" s="15" t="s">
        <v>33</v>
      </c>
      <c r="D5" s="15" t="s">
        <v>33</v>
      </c>
      <c r="E5" s="15">
        <v>2</v>
      </c>
      <c r="F5" s="15">
        <v>1094</v>
      </c>
      <c r="G5" s="15" t="s">
        <v>33</v>
      </c>
      <c r="H5" s="15">
        <v>0</v>
      </c>
      <c r="I5" s="15" t="s">
        <v>33</v>
      </c>
      <c r="J5" s="15">
        <v>0</v>
      </c>
      <c r="K5" s="21">
        <v>1</v>
      </c>
      <c r="L5" s="15">
        <v>3383</v>
      </c>
    </row>
    <row r="6" spans="1:12" x14ac:dyDescent="0.2">
      <c r="A6" s="13">
        <v>4</v>
      </c>
      <c r="B6" s="14" t="s">
        <v>27</v>
      </c>
      <c r="C6" s="15" t="s">
        <v>33</v>
      </c>
      <c r="D6" s="15" t="s">
        <v>33</v>
      </c>
      <c r="E6" s="15" t="s">
        <v>33</v>
      </c>
      <c r="F6" s="15" t="s">
        <v>33</v>
      </c>
      <c r="G6" s="15">
        <v>1</v>
      </c>
      <c r="H6" s="15">
        <v>5842</v>
      </c>
      <c r="I6" s="15">
        <v>1</v>
      </c>
      <c r="J6" s="15">
        <v>29800</v>
      </c>
      <c r="K6" s="21" t="s">
        <v>33</v>
      </c>
      <c r="L6" s="15">
        <v>0</v>
      </c>
    </row>
    <row r="7" spans="1:12" x14ac:dyDescent="0.2">
      <c r="A7" s="13">
        <v>5</v>
      </c>
      <c r="B7" s="14" t="s">
        <v>28</v>
      </c>
      <c r="C7" s="15">
        <v>13</v>
      </c>
      <c r="D7" s="15">
        <v>19956</v>
      </c>
      <c r="E7" s="15">
        <v>38</v>
      </c>
      <c r="F7" s="15">
        <v>59350</v>
      </c>
      <c r="G7" s="15">
        <v>58</v>
      </c>
      <c r="H7" s="15">
        <v>110321</v>
      </c>
      <c r="I7" s="15">
        <v>3</v>
      </c>
      <c r="J7" s="15">
        <v>383600</v>
      </c>
      <c r="K7" s="21">
        <v>11</v>
      </c>
      <c r="L7" s="15">
        <v>134175</v>
      </c>
    </row>
    <row r="8" spans="1:12" x14ac:dyDescent="0.2">
      <c r="A8" s="13">
        <v>6</v>
      </c>
      <c r="B8" s="14" t="s">
        <v>29</v>
      </c>
      <c r="C8" s="15">
        <v>1</v>
      </c>
      <c r="D8" s="15">
        <v>4981</v>
      </c>
      <c r="E8" s="15" t="s">
        <v>33</v>
      </c>
      <c r="F8" s="15" t="s">
        <v>33</v>
      </c>
      <c r="G8" s="15">
        <v>1</v>
      </c>
      <c r="H8" s="15">
        <v>376</v>
      </c>
      <c r="I8" s="15">
        <v>1</v>
      </c>
      <c r="J8" s="15">
        <v>55000</v>
      </c>
      <c r="K8" s="21">
        <v>1</v>
      </c>
      <c r="L8" s="15">
        <v>286</v>
      </c>
    </row>
    <row r="9" spans="1:12" x14ac:dyDescent="0.2">
      <c r="A9" s="13">
        <v>7</v>
      </c>
      <c r="B9" s="14" t="s">
        <v>30</v>
      </c>
      <c r="C9" s="15">
        <v>1</v>
      </c>
      <c r="D9" s="15">
        <v>594</v>
      </c>
      <c r="E9" s="15">
        <v>5</v>
      </c>
      <c r="F9" s="15">
        <v>1536</v>
      </c>
      <c r="G9" s="15" t="s">
        <v>33</v>
      </c>
      <c r="H9" s="15">
        <v>0</v>
      </c>
      <c r="I9" s="15" t="s">
        <v>33</v>
      </c>
      <c r="J9" s="15">
        <v>0</v>
      </c>
      <c r="K9" s="21" t="s">
        <v>33</v>
      </c>
      <c r="L9" s="15">
        <v>0</v>
      </c>
    </row>
    <row r="10" spans="1:12" x14ac:dyDescent="0.2">
      <c r="A10" s="13">
        <v>8</v>
      </c>
      <c r="B10" s="14" t="s">
        <v>31</v>
      </c>
      <c r="C10" s="15">
        <v>4</v>
      </c>
      <c r="D10" s="15">
        <v>9822</v>
      </c>
      <c r="E10" s="15" t="s">
        <v>33</v>
      </c>
      <c r="F10" s="15">
        <v>0</v>
      </c>
      <c r="G10" s="15" t="s">
        <v>33</v>
      </c>
      <c r="H10" s="15">
        <v>0</v>
      </c>
      <c r="I10" s="15" t="s">
        <v>33</v>
      </c>
      <c r="J10" s="15">
        <v>0</v>
      </c>
      <c r="K10" s="21">
        <v>1</v>
      </c>
      <c r="L10" s="15">
        <v>354</v>
      </c>
    </row>
    <row r="11" spans="1:12" x14ac:dyDescent="0.2">
      <c r="A11" s="13">
        <v>9</v>
      </c>
      <c r="B11" s="16" t="s">
        <v>32</v>
      </c>
      <c r="C11" s="17">
        <f>-D3</f>
        <v>0</v>
      </c>
      <c r="D11" s="17"/>
      <c r="E11" s="17">
        <f>-F30</f>
        <v>0</v>
      </c>
      <c r="F11" s="17">
        <v>0</v>
      </c>
      <c r="G11" s="17">
        <f>-H300</f>
        <v>0</v>
      </c>
      <c r="H11" s="15">
        <v>0</v>
      </c>
      <c r="I11" s="15">
        <f>-J300</f>
        <v>0</v>
      </c>
      <c r="J11" s="15">
        <v>0</v>
      </c>
      <c r="K11" s="21" t="s">
        <v>33</v>
      </c>
      <c r="L11" s="17">
        <v>0</v>
      </c>
    </row>
    <row r="12" spans="1:12" x14ac:dyDescent="0.2">
      <c r="A12" s="18"/>
      <c r="B12" s="19" t="s">
        <v>19</v>
      </c>
      <c r="C12" s="20">
        <f>SUM(C3:C11)</f>
        <v>21</v>
      </c>
      <c r="D12" s="20">
        <f t="shared" ref="D12:L12" si="0">SUM(D3:D11)</f>
        <v>41569</v>
      </c>
      <c r="E12" s="20">
        <f t="shared" si="0"/>
        <v>47</v>
      </c>
      <c r="F12" s="20">
        <f t="shared" si="0"/>
        <v>115470</v>
      </c>
      <c r="G12" s="20">
        <f t="shared" si="0"/>
        <v>61</v>
      </c>
      <c r="H12" s="20">
        <f t="shared" si="0"/>
        <v>116900</v>
      </c>
      <c r="I12" s="20">
        <f t="shared" si="0"/>
        <v>11</v>
      </c>
      <c r="J12" s="20">
        <v>5039</v>
      </c>
      <c r="K12" s="20">
        <f t="shared" si="0"/>
        <v>17</v>
      </c>
      <c r="L12" s="20">
        <f t="shared" si="0"/>
        <v>140708</v>
      </c>
    </row>
  </sheetData>
  <mergeCells count="7">
    <mergeCell ref="G1:H1"/>
    <mergeCell ref="I1:J1"/>
    <mergeCell ref="K1:L1"/>
    <mergeCell ref="A1:A2"/>
    <mergeCell ref="B1:B2"/>
    <mergeCell ref="C1:D1"/>
    <mergeCell ref="E1:F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6"/>
  <sheetViews>
    <sheetView tabSelected="1" view="pageBreakPreview" topLeftCell="F1" zoomScaleNormal="100" zoomScaleSheetLayoutView="100" workbookViewId="0">
      <selection activeCell="L3" sqref="L3"/>
    </sheetView>
  </sheetViews>
  <sheetFormatPr defaultRowHeight="12.75" x14ac:dyDescent="0.2"/>
  <cols>
    <col min="2" max="2" width="16.83203125" customWidth="1"/>
    <col min="3" max="3" width="21.5" customWidth="1"/>
    <col min="4" max="4" width="12.1640625" customWidth="1"/>
    <col min="5" max="5" width="17" bestFit="1" customWidth="1"/>
    <col min="6" max="6" width="19" bestFit="1" customWidth="1"/>
    <col min="7" max="7" width="14.83203125" customWidth="1"/>
    <col min="8" max="8" width="15" customWidth="1"/>
    <col min="9" max="9" width="19.5" customWidth="1"/>
    <col min="10" max="11" width="25.83203125" customWidth="1"/>
    <col min="12" max="12" width="19.6640625" customWidth="1"/>
    <col min="13" max="13" width="14.1640625" customWidth="1"/>
    <col min="14" max="14" width="26.33203125" customWidth="1"/>
    <col min="15" max="15" width="13" bestFit="1" customWidth="1"/>
  </cols>
  <sheetData>
    <row r="1" spans="1:15" x14ac:dyDescent="0.2">
      <c r="A1" t="s">
        <v>34</v>
      </c>
    </row>
    <row r="2" spans="1:15" s="23" customFormat="1" ht="45" x14ac:dyDescent="0.2">
      <c r="A2" s="22" t="s">
        <v>35</v>
      </c>
      <c r="B2" s="22" t="s">
        <v>36</v>
      </c>
      <c r="C2" s="22" t="s">
        <v>37</v>
      </c>
      <c r="D2" s="22" t="s">
        <v>38</v>
      </c>
      <c r="E2" s="22" t="s">
        <v>39</v>
      </c>
      <c r="F2" s="22" t="s">
        <v>40</v>
      </c>
      <c r="G2" s="22" t="s">
        <v>41</v>
      </c>
      <c r="H2" s="22" t="s">
        <v>42</v>
      </c>
      <c r="I2" s="22" t="s">
        <v>43</v>
      </c>
      <c r="J2" s="22" t="s">
        <v>44</v>
      </c>
      <c r="K2" s="22" t="s">
        <v>313</v>
      </c>
      <c r="L2" s="22" t="s">
        <v>314</v>
      </c>
      <c r="M2" s="22" t="s">
        <v>45</v>
      </c>
      <c r="N2" s="22" t="s">
        <v>46</v>
      </c>
      <c r="O2" s="22" t="s">
        <v>47</v>
      </c>
    </row>
    <row r="3" spans="1:15" ht="38.25" x14ac:dyDescent="0.2">
      <c r="A3" s="25">
        <v>1</v>
      </c>
      <c r="B3" s="26">
        <v>31</v>
      </c>
      <c r="C3" s="28" t="s">
        <v>58</v>
      </c>
      <c r="D3" s="29">
        <v>6890</v>
      </c>
      <c r="E3" s="28" t="s">
        <v>59</v>
      </c>
      <c r="F3" s="28" t="s">
        <v>49</v>
      </c>
      <c r="G3" s="28" t="s">
        <v>25</v>
      </c>
      <c r="H3" s="30">
        <v>44678</v>
      </c>
      <c r="I3" s="28" t="s">
        <v>60</v>
      </c>
      <c r="J3" s="28" t="s">
        <v>61</v>
      </c>
      <c r="K3" s="103" t="s">
        <v>316</v>
      </c>
      <c r="L3" s="36">
        <v>-5253531</v>
      </c>
      <c r="N3" s="25" t="s">
        <v>48</v>
      </c>
      <c r="O3" s="33" t="s">
        <v>228</v>
      </c>
    </row>
    <row r="4" spans="1:15" ht="51" x14ac:dyDescent="0.2">
      <c r="A4" s="25">
        <v>2</v>
      </c>
      <c r="B4" s="26">
        <v>3</v>
      </c>
      <c r="C4" s="28" t="s">
        <v>62</v>
      </c>
      <c r="D4" s="29">
        <v>2201</v>
      </c>
      <c r="E4" s="28" t="s">
        <v>63</v>
      </c>
      <c r="F4" s="28" t="s">
        <v>50</v>
      </c>
      <c r="G4" s="28" t="s">
        <v>25</v>
      </c>
      <c r="H4" s="30">
        <v>44491</v>
      </c>
      <c r="I4" s="28" t="s">
        <v>60</v>
      </c>
      <c r="J4" s="28" t="s">
        <v>61</v>
      </c>
      <c r="K4" s="103" t="s">
        <v>317</v>
      </c>
      <c r="L4" s="36">
        <v>-5256962</v>
      </c>
      <c r="N4" s="25" t="s">
        <v>48</v>
      </c>
      <c r="O4" s="25"/>
    </row>
    <row r="5" spans="1:15" ht="51" x14ac:dyDescent="0.2">
      <c r="A5" s="25">
        <v>3</v>
      </c>
      <c r="B5" s="26">
        <v>11</v>
      </c>
      <c r="C5" s="28" t="s">
        <v>64</v>
      </c>
      <c r="D5" s="31">
        <v>250</v>
      </c>
      <c r="E5" s="28" t="s">
        <v>65</v>
      </c>
      <c r="F5" s="28" t="s">
        <v>51</v>
      </c>
      <c r="G5" s="28" t="s">
        <v>28</v>
      </c>
      <c r="H5" s="30">
        <v>44921</v>
      </c>
      <c r="I5" s="28" t="s">
        <v>60</v>
      </c>
      <c r="J5" s="28" t="s">
        <v>66</v>
      </c>
      <c r="K5" s="103" t="s">
        <v>318</v>
      </c>
      <c r="L5" s="36">
        <v>-5177638</v>
      </c>
      <c r="N5" s="25" t="s">
        <v>48</v>
      </c>
      <c r="O5" s="25">
        <v>181</v>
      </c>
    </row>
    <row r="6" spans="1:15" ht="51" x14ac:dyDescent="0.2">
      <c r="A6" s="25">
        <v>4</v>
      </c>
      <c r="B6" s="26">
        <v>20</v>
      </c>
      <c r="C6" s="28" t="s">
        <v>67</v>
      </c>
      <c r="D6" s="31">
        <v>844</v>
      </c>
      <c r="E6" s="28" t="s">
        <v>68</v>
      </c>
      <c r="F6" s="28" t="s">
        <v>52</v>
      </c>
      <c r="G6" s="28" t="s">
        <v>26</v>
      </c>
      <c r="H6" s="30">
        <v>44690</v>
      </c>
      <c r="I6" s="28" t="s">
        <v>60</v>
      </c>
      <c r="J6" s="28" t="s">
        <v>69</v>
      </c>
      <c r="K6" s="103" t="s">
        <v>319</v>
      </c>
      <c r="L6" s="36">
        <v>-5140719</v>
      </c>
      <c r="N6" s="25" t="s">
        <v>48</v>
      </c>
      <c r="O6" s="25"/>
    </row>
    <row r="7" spans="1:15" ht="63.75" x14ac:dyDescent="0.2">
      <c r="A7" s="25">
        <v>5</v>
      </c>
      <c r="B7" s="26">
        <v>8</v>
      </c>
      <c r="C7" s="28" t="s">
        <v>70</v>
      </c>
      <c r="D7" s="31">
        <v>361</v>
      </c>
      <c r="E7" s="28" t="s">
        <v>71</v>
      </c>
      <c r="F7" s="28" t="s">
        <v>53</v>
      </c>
      <c r="G7" s="28" t="s">
        <v>28</v>
      </c>
      <c r="H7" s="30">
        <v>44950</v>
      </c>
      <c r="I7" s="28" t="s">
        <v>60</v>
      </c>
      <c r="J7" s="28" t="s">
        <v>72</v>
      </c>
      <c r="K7" s="103" t="s">
        <v>320</v>
      </c>
      <c r="L7" s="36">
        <v>-5303542</v>
      </c>
      <c r="N7" s="25" t="s">
        <v>48</v>
      </c>
      <c r="O7" s="25"/>
    </row>
    <row r="8" spans="1:15" ht="51" x14ac:dyDescent="0.2">
      <c r="A8" s="25">
        <v>6</v>
      </c>
      <c r="B8" s="26">
        <v>9</v>
      </c>
      <c r="C8" s="28" t="s">
        <v>73</v>
      </c>
      <c r="D8" s="31">
        <v>321</v>
      </c>
      <c r="E8" s="28" t="s">
        <v>74</v>
      </c>
      <c r="F8" s="28" t="s">
        <v>54</v>
      </c>
      <c r="G8" s="28" t="s">
        <v>28</v>
      </c>
      <c r="H8" s="30">
        <v>44735</v>
      </c>
      <c r="I8" s="28" t="s">
        <v>60</v>
      </c>
      <c r="J8" s="28" t="s">
        <v>75</v>
      </c>
      <c r="K8" s="103" t="s">
        <v>321</v>
      </c>
      <c r="L8" s="36" t="s">
        <v>315</v>
      </c>
      <c r="N8" s="25" t="s">
        <v>48</v>
      </c>
      <c r="O8" s="25"/>
    </row>
    <row r="9" spans="1:15" ht="51" x14ac:dyDescent="0.2">
      <c r="A9" s="25">
        <v>7</v>
      </c>
      <c r="B9" s="26">
        <v>10</v>
      </c>
      <c r="C9" s="28" t="s">
        <v>76</v>
      </c>
      <c r="D9" s="31">
        <v>282</v>
      </c>
      <c r="E9" s="28" t="s">
        <v>77</v>
      </c>
      <c r="F9" s="28" t="s">
        <v>55</v>
      </c>
      <c r="G9" s="28" t="s">
        <v>30</v>
      </c>
      <c r="H9" s="30">
        <v>44735</v>
      </c>
      <c r="I9" s="28" t="s">
        <v>60</v>
      </c>
      <c r="J9" s="28" t="s">
        <v>78</v>
      </c>
      <c r="K9" s="103" t="s">
        <v>322</v>
      </c>
      <c r="L9" s="36">
        <v>-5306965</v>
      </c>
      <c r="N9" s="25" t="s">
        <v>48</v>
      </c>
      <c r="O9" s="25"/>
    </row>
    <row r="10" spans="1:15" ht="63.75" x14ac:dyDescent="0.2">
      <c r="A10" s="25">
        <v>8</v>
      </c>
      <c r="B10" s="26">
        <v>12</v>
      </c>
      <c r="C10" s="28" t="s">
        <v>79</v>
      </c>
      <c r="D10" s="31">
        <v>272</v>
      </c>
      <c r="E10" s="28" t="s">
        <v>80</v>
      </c>
      <c r="F10" s="28" t="s">
        <v>56</v>
      </c>
      <c r="G10" s="28" t="s">
        <v>30</v>
      </c>
      <c r="H10" s="30">
        <v>44740</v>
      </c>
      <c r="I10" s="28" t="s">
        <v>60</v>
      </c>
      <c r="J10" s="28" t="s">
        <v>81</v>
      </c>
      <c r="K10" s="103" t="s">
        <v>323</v>
      </c>
      <c r="L10" s="36">
        <v>-5311720</v>
      </c>
      <c r="N10" s="25" t="s">
        <v>48</v>
      </c>
      <c r="O10" s="25"/>
    </row>
    <row r="11" spans="1:15" ht="38.25" x14ac:dyDescent="0.2">
      <c r="A11" s="25">
        <v>9</v>
      </c>
      <c r="B11" s="26">
        <v>24</v>
      </c>
      <c r="C11" s="28" t="s">
        <v>82</v>
      </c>
      <c r="D11" s="31">
        <v>477</v>
      </c>
      <c r="E11" s="28" t="s">
        <v>83</v>
      </c>
      <c r="F11" s="28" t="s">
        <v>57</v>
      </c>
      <c r="G11" s="28" t="s">
        <v>28</v>
      </c>
      <c r="H11" s="30">
        <v>44735</v>
      </c>
      <c r="I11" s="28" t="s">
        <v>60</v>
      </c>
      <c r="J11" s="28" t="s">
        <v>84</v>
      </c>
      <c r="K11" s="103" t="s">
        <v>324</v>
      </c>
      <c r="L11" s="36">
        <v>-5324539</v>
      </c>
      <c r="N11" s="25" t="s">
        <v>48</v>
      </c>
      <c r="O11" s="25"/>
    </row>
    <row r="12" spans="1:15" ht="51" x14ac:dyDescent="0.2">
      <c r="A12" s="25">
        <v>10</v>
      </c>
      <c r="B12" s="26">
        <v>23</v>
      </c>
      <c r="C12" s="28" t="s">
        <v>85</v>
      </c>
      <c r="D12" s="31">
        <v>184</v>
      </c>
      <c r="E12" s="28" t="s">
        <v>86</v>
      </c>
      <c r="F12" s="28" t="s">
        <v>57</v>
      </c>
      <c r="G12" s="28" t="s">
        <v>28</v>
      </c>
      <c r="H12" s="30">
        <v>44735</v>
      </c>
      <c r="I12" s="28" t="s">
        <v>60</v>
      </c>
      <c r="J12" s="28" t="s">
        <v>87</v>
      </c>
      <c r="K12" s="103" t="s">
        <v>325</v>
      </c>
      <c r="L12" s="36">
        <v>-5320894</v>
      </c>
      <c r="N12" s="25" t="s">
        <v>48</v>
      </c>
      <c r="O12" s="25"/>
    </row>
    <row r="13" spans="1:15" ht="25.5" x14ac:dyDescent="0.2">
      <c r="A13" s="25">
        <v>11</v>
      </c>
      <c r="B13" s="26">
        <v>2</v>
      </c>
      <c r="C13" s="28" t="s">
        <v>92</v>
      </c>
      <c r="D13" s="31">
        <v>467</v>
      </c>
      <c r="E13" s="28" t="s">
        <v>93</v>
      </c>
      <c r="F13" s="25" t="s">
        <v>50</v>
      </c>
      <c r="G13" s="28" t="s">
        <v>25</v>
      </c>
      <c r="H13" s="30">
        <v>44491</v>
      </c>
      <c r="I13" s="28" t="s">
        <v>60</v>
      </c>
      <c r="J13" s="28" t="s">
        <v>94</v>
      </c>
      <c r="K13" s="103" t="s">
        <v>326</v>
      </c>
      <c r="L13" s="36">
        <v>-5239714</v>
      </c>
      <c r="N13" s="25" t="s">
        <v>48</v>
      </c>
      <c r="O13" s="25"/>
    </row>
    <row r="14" spans="1:15" ht="51" x14ac:dyDescent="0.2">
      <c r="A14" s="25">
        <v>12</v>
      </c>
      <c r="B14" s="26">
        <v>128</v>
      </c>
      <c r="C14" s="28" t="s">
        <v>95</v>
      </c>
      <c r="D14" s="29">
        <v>16240</v>
      </c>
      <c r="E14" s="28" t="s">
        <v>96</v>
      </c>
      <c r="F14" s="25" t="s">
        <v>88</v>
      </c>
      <c r="G14" s="28" t="s">
        <v>28</v>
      </c>
      <c r="H14" s="30">
        <v>45146</v>
      </c>
      <c r="I14" s="28" t="s">
        <v>60</v>
      </c>
      <c r="J14" s="28" t="s">
        <v>97</v>
      </c>
      <c r="K14" s="103" t="s">
        <v>327</v>
      </c>
      <c r="L14" s="36">
        <v>-5128458</v>
      </c>
      <c r="N14" s="25" t="s">
        <v>48</v>
      </c>
      <c r="O14" s="25"/>
    </row>
    <row r="15" spans="1:15" ht="38.25" x14ac:dyDescent="0.2">
      <c r="A15" s="25">
        <v>13</v>
      </c>
      <c r="B15" s="26">
        <v>59</v>
      </c>
      <c r="C15" s="28" t="s">
        <v>98</v>
      </c>
      <c r="D15" s="29">
        <v>2087</v>
      </c>
      <c r="E15" s="28" t="s">
        <v>89</v>
      </c>
      <c r="F15" s="25" t="s">
        <v>89</v>
      </c>
      <c r="G15" s="28" t="s">
        <v>28</v>
      </c>
      <c r="H15" s="30">
        <v>45140</v>
      </c>
      <c r="I15" s="28" t="s">
        <v>60</v>
      </c>
      <c r="J15" s="28" t="s">
        <v>99</v>
      </c>
      <c r="K15" s="103" t="s">
        <v>328</v>
      </c>
      <c r="L15" s="36">
        <v>-5117003</v>
      </c>
      <c r="N15" s="25" t="s">
        <v>48</v>
      </c>
      <c r="O15" s="25"/>
    </row>
    <row r="16" spans="1:15" ht="38.25" x14ac:dyDescent="0.2">
      <c r="A16" s="25">
        <v>14</v>
      </c>
      <c r="B16" s="26">
        <v>112</v>
      </c>
      <c r="C16" s="28" t="s">
        <v>98</v>
      </c>
      <c r="D16" s="29">
        <v>1731</v>
      </c>
      <c r="E16" s="28" t="s">
        <v>88</v>
      </c>
      <c r="F16" s="25" t="s">
        <v>88</v>
      </c>
      <c r="G16" s="28" t="s">
        <v>28</v>
      </c>
      <c r="H16" s="30">
        <v>44911</v>
      </c>
      <c r="I16" s="28" t="s">
        <v>60</v>
      </c>
      <c r="J16" s="28" t="s">
        <v>100</v>
      </c>
      <c r="K16" s="103" t="s">
        <v>329</v>
      </c>
      <c r="L16" s="36">
        <v>-5132592</v>
      </c>
      <c r="N16" s="25" t="s">
        <v>48</v>
      </c>
      <c r="O16" s="25">
        <v>1732</v>
      </c>
    </row>
    <row r="17" spans="1:15" ht="38.25" x14ac:dyDescent="0.2">
      <c r="A17" s="25">
        <v>15</v>
      </c>
      <c r="B17" s="26">
        <v>107</v>
      </c>
      <c r="C17" s="28" t="s">
        <v>98</v>
      </c>
      <c r="D17" s="31">
        <v>852</v>
      </c>
      <c r="E17" s="28" t="s">
        <v>88</v>
      </c>
      <c r="F17" s="25" t="s">
        <v>88</v>
      </c>
      <c r="G17" s="28" t="s">
        <v>28</v>
      </c>
      <c r="H17" s="30">
        <v>44896</v>
      </c>
      <c r="I17" s="28" t="s">
        <v>60</v>
      </c>
      <c r="J17" s="28" t="s">
        <v>101</v>
      </c>
      <c r="K17" s="103" t="s">
        <v>330</v>
      </c>
      <c r="L17" s="36">
        <v>-5133588</v>
      </c>
      <c r="N17" s="25" t="s">
        <v>48</v>
      </c>
      <c r="O17" s="25"/>
    </row>
    <row r="18" spans="1:15" ht="38.25" x14ac:dyDescent="0.2">
      <c r="A18" s="25">
        <v>16</v>
      </c>
      <c r="B18" s="26">
        <v>120</v>
      </c>
      <c r="C18" s="28" t="s">
        <v>98</v>
      </c>
      <c r="D18" s="29">
        <v>2005</v>
      </c>
      <c r="E18" s="28" t="s">
        <v>88</v>
      </c>
      <c r="F18" s="25" t="s">
        <v>88</v>
      </c>
      <c r="G18" s="28" t="s">
        <v>28</v>
      </c>
      <c r="H18" s="30">
        <v>44953</v>
      </c>
      <c r="I18" s="28" t="s">
        <v>60</v>
      </c>
      <c r="J18" s="28" t="s">
        <v>102</v>
      </c>
      <c r="K18" s="103" t="s">
        <v>331</v>
      </c>
      <c r="L18" s="36">
        <v>-5131554</v>
      </c>
      <c r="N18" s="25" t="s">
        <v>48</v>
      </c>
      <c r="O18" s="25"/>
    </row>
    <row r="19" spans="1:15" ht="38.25" x14ac:dyDescent="0.2">
      <c r="A19" s="25">
        <v>17</v>
      </c>
      <c r="B19" s="26">
        <v>115</v>
      </c>
      <c r="C19" s="28" t="s">
        <v>98</v>
      </c>
      <c r="D19" s="29">
        <v>2699</v>
      </c>
      <c r="E19" s="28" t="s">
        <v>88</v>
      </c>
      <c r="F19" s="25" t="s">
        <v>88</v>
      </c>
      <c r="G19" s="28" t="s">
        <v>28</v>
      </c>
      <c r="H19" s="30">
        <v>44911</v>
      </c>
      <c r="I19" s="28" t="s">
        <v>60</v>
      </c>
      <c r="J19" s="28" t="s">
        <v>103</v>
      </c>
      <c r="K19" s="103" t="s">
        <v>332</v>
      </c>
      <c r="L19" s="36">
        <v>-5128856</v>
      </c>
      <c r="N19" s="25" t="s">
        <v>48</v>
      </c>
      <c r="O19" s="33" t="s">
        <v>229</v>
      </c>
    </row>
    <row r="20" spans="1:15" ht="38.25" x14ac:dyDescent="0.2">
      <c r="A20" s="25">
        <v>18</v>
      </c>
      <c r="B20" s="26">
        <v>136</v>
      </c>
      <c r="C20" s="28" t="s">
        <v>98</v>
      </c>
      <c r="D20" s="29">
        <v>3710</v>
      </c>
      <c r="E20" s="28" t="s">
        <v>90</v>
      </c>
      <c r="F20" s="25" t="s">
        <v>90</v>
      </c>
      <c r="G20" s="28" t="s">
        <v>28</v>
      </c>
      <c r="H20" s="30">
        <v>44911</v>
      </c>
      <c r="I20" s="28" t="s">
        <v>60</v>
      </c>
      <c r="J20" s="28" t="s">
        <v>104</v>
      </c>
      <c r="K20" s="103" t="s">
        <v>333</v>
      </c>
      <c r="L20" s="36">
        <v>-5122980</v>
      </c>
      <c r="N20" s="25" t="s">
        <v>48</v>
      </c>
      <c r="O20" s="25"/>
    </row>
    <row r="21" spans="1:15" ht="38.25" x14ac:dyDescent="0.2">
      <c r="A21" s="25">
        <v>19</v>
      </c>
      <c r="B21" s="26">
        <v>32</v>
      </c>
      <c r="C21" s="28" t="s">
        <v>98</v>
      </c>
      <c r="D21" s="29">
        <v>1197</v>
      </c>
      <c r="E21" s="28" t="s">
        <v>91</v>
      </c>
      <c r="F21" s="25" t="s">
        <v>91</v>
      </c>
      <c r="G21" s="28" t="s">
        <v>28</v>
      </c>
      <c r="H21" s="30">
        <v>44896</v>
      </c>
      <c r="I21" s="28" t="s">
        <v>60</v>
      </c>
      <c r="J21" s="28" t="s">
        <v>105</v>
      </c>
      <c r="K21" s="103" t="s">
        <v>335</v>
      </c>
      <c r="L21" s="36">
        <v>-5110708</v>
      </c>
      <c r="N21" s="25" t="s">
        <v>48</v>
      </c>
      <c r="O21" s="25"/>
    </row>
    <row r="22" spans="1:15" ht="38.25" x14ac:dyDescent="0.2">
      <c r="A22" s="25">
        <v>20</v>
      </c>
      <c r="B22" s="26">
        <v>129</v>
      </c>
      <c r="C22" s="28" t="s">
        <v>98</v>
      </c>
      <c r="D22" s="29">
        <v>3582</v>
      </c>
      <c r="E22" s="28" t="s">
        <v>88</v>
      </c>
      <c r="F22" s="25" t="s">
        <v>88</v>
      </c>
      <c r="G22" s="28" t="s">
        <v>28</v>
      </c>
      <c r="H22" s="30">
        <v>45152</v>
      </c>
      <c r="I22" s="28" t="s">
        <v>60</v>
      </c>
      <c r="J22" s="28" t="s">
        <v>106</v>
      </c>
      <c r="K22" s="103" t="s">
        <v>334</v>
      </c>
      <c r="L22" s="36">
        <v>-5132176</v>
      </c>
      <c r="N22" s="25" t="s">
        <v>48</v>
      </c>
      <c r="O22" s="25"/>
    </row>
    <row r="23" spans="1:15" ht="38.25" x14ac:dyDescent="0.2">
      <c r="A23" s="25">
        <v>21</v>
      </c>
      <c r="B23" s="26">
        <v>123</v>
      </c>
      <c r="C23" s="28" t="s">
        <v>98</v>
      </c>
      <c r="D23" s="29">
        <v>1410</v>
      </c>
      <c r="E23" s="28" t="s">
        <v>88</v>
      </c>
      <c r="F23" s="28" t="s">
        <v>88</v>
      </c>
      <c r="G23" s="28" t="s">
        <v>28</v>
      </c>
      <c r="H23" s="30">
        <v>45140</v>
      </c>
      <c r="I23" s="28" t="s">
        <v>60</v>
      </c>
      <c r="J23" s="28" t="s">
        <v>107</v>
      </c>
      <c r="K23" s="103" t="s">
        <v>336</v>
      </c>
      <c r="L23" s="36">
        <v>-5131270</v>
      </c>
      <c r="N23" s="25" t="s">
        <v>48</v>
      </c>
      <c r="O23" s="25"/>
    </row>
    <row r="24" spans="1:15" ht="38.25" x14ac:dyDescent="0.2">
      <c r="A24" s="25">
        <v>22</v>
      </c>
      <c r="B24" s="26">
        <v>131</v>
      </c>
      <c r="C24" s="28" t="s">
        <v>98</v>
      </c>
      <c r="D24" s="29">
        <v>1032</v>
      </c>
      <c r="E24" s="28" t="s">
        <v>88</v>
      </c>
      <c r="F24" s="28" t="s">
        <v>88</v>
      </c>
      <c r="G24" s="28" t="s">
        <v>28</v>
      </c>
      <c r="H24" s="30">
        <v>45152</v>
      </c>
      <c r="I24" s="28" t="s">
        <v>60</v>
      </c>
      <c r="J24" s="28" t="s">
        <v>108</v>
      </c>
      <c r="K24" s="103" t="s">
        <v>337</v>
      </c>
      <c r="L24" s="36">
        <v>-5129221</v>
      </c>
      <c r="N24" s="25" t="s">
        <v>48</v>
      </c>
      <c r="O24" s="25"/>
    </row>
    <row r="25" spans="1:15" ht="38.25" x14ac:dyDescent="0.2">
      <c r="A25" s="25">
        <v>23</v>
      </c>
      <c r="B25" s="26">
        <v>94</v>
      </c>
      <c r="C25" s="28" t="s">
        <v>98</v>
      </c>
      <c r="D25" s="31">
        <v>999</v>
      </c>
      <c r="E25" s="28" t="s">
        <v>88</v>
      </c>
      <c r="F25" s="28" t="s">
        <v>88</v>
      </c>
      <c r="G25" s="28" t="s">
        <v>28</v>
      </c>
      <c r="H25" s="30">
        <v>44222</v>
      </c>
      <c r="I25" s="28" t="s">
        <v>60</v>
      </c>
      <c r="J25" s="28" t="s">
        <v>109</v>
      </c>
      <c r="K25" s="103" t="s">
        <v>338</v>
      </c>
      <c r="L25" s="36">
        <v>-5127288</v>
      </c>
      <c r="N25" s="25" t="s">
        <v>48</v>
      </c>
      <c r="O25" s="25"/>
    </row>
    <row r="26" spans="1:15" ht="38.25" x14ac:dyDescent="0.2">
      <c r="A26" s="25">
        <v>24</v>
      </c>
      <c r="B26" s="26">
        <v>134</v>
      </c>
      <c r="C26" s="28" t="s">
        <v>98</v>
      </c>
      <c r="D26" s="29">
        <v>2115</v>
      </c>
      <c r="E26" s="28" t="s">
        <v>90</v>
      </c>
      <c r="F26" s="28" t="s">
        <v>90</v>
      </c>
      <c r="G26" s="28" t="s">
        <v>28</v>
      </c>
      <c r="H26" s="30">
        <v>44907</v>
      </c>
      <c r="I26" s="28" t="s">
        <v>60</v>
      </c>
      <c r="J26" s="28" t="s">
        <v>110</v>
      </c>
      <c r="K26" s="103" t="s">
        <v>339</v>
      </c>
      <c r="L26" s="36">
        <v>-5122716</v>
      </c>
      <c r="N26" s="25" t="s">
        <v>48</v>
      </c>
      <c r="O26" s="25"/>
    </row>
    <row r="27" spans="1:15" ht="38.25" x14ac:dyDescent="0.2">
      <c r="A27" s="25">
        <v>25</v>
      </c>
      <c r="B27" s="26">
        <v>54</v>
      </c>
      <c r="C27" s="28" t="s">
        <v>98</v>
      </c>
      <c r="D27" s="29">
        <v>3001</v>
      </c>
      <c r="E27" s="28" t="s">
        <v>89</v>
      </c>
      <c r="F27" s="28" t="s">
        <v>89</v>
      </c>
      <c r="G27" s="28" t="s">
        <v>28</v>
      </c>
      <c r="H27" s="30">
        <v>45139</v>
      </c>
      <c r="I27" s="28" t="s">
        <v>60</v>
      </c>
      <c r="J27" s="28" t="s">
        <v>111</v>
      </c>
      <c r="K27" s="103" t="s">
        <v>340</v>
      </c>
      <c r="L27" s="36">
        <v>-5117464</v>
      </c>
      <c r="N27" s="25" t="s">
        <v>48</v>
      </c>
      <c r="O27" s="33" t="s">
        <v>230</v>
      </c>
    </row>
    <row r="28" spans="1:15" ht="38.25" x14ac:dyDescent="0.2">
      <c r="A28" s="25">
        <v>26</v>
      </c>
      <c r="B28" s="26">
        <v>63</v>
      </c>
      <c r="C28" s="28" t="s">
        <v>98</v>
      </c>
      <c r="D28" s="29">
        <v>2060</v>
      </c>
      <c r="E28" s="28" t="s">
        <v>89</v>
      </c>
      <c r="F28" s="28" t="s">
        <v>89</v>
      </c>
      <c r="G28" s="28" t="s">
        <v>28</v>
      </c>
      <c r="H28" s="30">
        <v>45140</v>
      </c>
      <c r="I28" s="28" t="s">
        <v>60</v>
      </c>
      <c r="J28" s="28" t="s">
        <v>112</v>
      </c>
      <c r="K28" s="103" t="s">
        <v>341</v>
      </c>
      <c r="L28" s="36">
        <v>-5113157</v>
      </c>
      <c r="N28" s="25" t="s">
        <v>48</v>
      </c>
      <c r="O28" s="25"/>
    </row>
    <row r="29" spans="1:15" ht="38.25" x14ac:dyDescent="0.2">
      <c r="A29" s="25">
        <v>27</v>
      </c>
      <c r="B29" s="26">
        <v>148</v>
      </c>
      <c r="C29" s="28" t="s">
        <v>98</v>
      </c>
      <c r="D29" s="29">
        <v>1793</v>
      </c>
      <c r="E29" s="28" t="s">
        <v>89</v>
      </c>
      <c r="F29" s="28" t="s">
        <v>89</v>
      </c>
      <c r="G29" s="28" t="s">
        <v>28</v>
      </c>
      <c r="H29" s="30">
        <v>45134</v>
      </c>
      <c r="I29" s="28" t="s">
        <v>60</v>
      </c>
      <c r="J29" s="28" t="s">
        <v>113</v>
      </c>
      <c r="K29" s="103" t="s">
        <v>342</v>
      </c>
      <c r="L29" s="36">
        <v>-5116934</v>
      </c>
      <c r="N29" s="25" t="s">
        <v>48</v>
      </c>
      <c r="O29" s="25"/>
    </row>
    <row r="30" spans="1:15" ht="51" x14ac:dyDescent="0.2">
      <c r="A30" s="25">
        <v>28</v>
      </c>
      <c r="B30" s="26">
        <v>65</v>
      </c>
      <c r="C30" s="28" t="s">
        <v>98</v>
      </c>
      <c r="D30" s="29">
        <v>1737</v>
      </c>
      <c r="E30" s="28" t="s">
        <v>90</v>
      </c>
      <c r="F30" s="28" t="s">
        <v>90</v>
      </c>
      <c r="G30" s="28" t="s">
        <v>28</v>
      </c>
      <c r="H30" s="30">
        <v>45141</v>
      </c>
      <c r="I30" s="28" t="s">
        <v>60</v>
      </c>
      <c r="J30" s="28" t="s">
        <v>114</v>
      </c>
      <c r="K30" s="103" t="s">
        <v>343</v>
      </c>
      <c r="L30" s="36">
        <v>-5119370</v>
      </c>
      <c r="N30" s="25" t="s">
        <v>48</v>
      </c>
      <c r="O30" s="33" t="s">
        <v>231</v>
      </c>
    </row>
    <row r="31" spans="1:15" ht="38.25" x14ac:dyDescent="0.2">
      <c r="A31" s="25">
        <v>29</v>
      </c>
      <c r="B31" s="26">
        <v>93</v>
      </c>
      <c r="C31" s="28" t="s">
        <v>98</v>
      </c>
      <c r="D31" s="29">
        <v>1808</v>
      </c>
      <c r="E31" s="28" t="s">
        <v>88</v>
      </c>
      <c r="F31" s="28" t="s">
        <v>88</v>
      </c>
      <c r="G31" s="28" t="s">
        <v>28</v>
      </c>
      <c r="H31" s="30">
        <v>44221</v>
      </c>
      <c r="I31" s="28" t="s">
        <v>60</v>
      </c>
      <c r="J31" s="28" t="s">
        <v>115</v>
      </c>
      <c r="K31" s="103" t="s">
        <v>344</v>
      </c>
      <c r="L31" s="36">
        <v>-5126493</v>
      </c>
      <c r="N31" s="25" t="s">
        <v>48</v>
      </c>
      <c r="O31" s="25"/>
    </row>
    <row r="32" spans="1:15" ht="38.25" x14ac:dyDescent="0.2">
      <c r="A32" s="25">
        <v>30</v>
      </c>
      <c r="B32" s="26">
        <v>135</v>
      </c>
      <c r="C32" s="28" t="s">
        <v>98</v>
      </c>
      <c r="D32" s="29">
        <v>3113</v>
      </c>
      <c r="E32" s="28" t="s">
        <v>90</v>
      </c>
      <c r="F32" s="28" t="s">
        <v>90</v>
      </c>
      <c r="G32" s="28" t="s">
        <v>28</v>
      </c>
      <c r="H32" s="30">
        <v>44907</v>
      </c>
      <c r="I32" s="28" t="s">
        <v>60</v>
      </c>
      <c r="J32" s="28" t="s">
        <v>110</v>
      </c>
      <c r="K32" s="103" t="s">
        <v>345</v>
      </c>
      <c r="L32" s="36">
        <v>-5120659</v>
      </c>
      <c r="N32" s="25" t="s">
        <v>48</v>
      </c>
      <c r="O32" s="25">
        <v>3117</v>
      </c>
    </row>
    <row r="33" spans="1:15" ht="38.25" x14ac:dyDescent="0.2">
      <c r="A33" s="25">
        <v>31</v>
      </c>
      <c r="B33" s="26">
        <v>111</v>
      </c>
      <c r="C33" s="28" t="s">
        <v>98</v>
      </c>
      <c r="D33" s="29">
        <v>1523</v>
      </c>
      <c r="E33" s="28" t="s">
        <v>88</v>
      </c>
      <c r="F33" s="28" t="s">
        <v>88</v>
      </c>
      <c r="G33" s="28" t="s">
        <v>28</v>
      </c>
      <c r="H33" s="30">
        <v>44911</v>
      </c>
      <c r="I33" s="28" t="s">
        <v>60</v>
      </c>
      <c r="J33" s="28" t="s">
        <v>116</v>
      </c>
      <c r="K33" s="103" t="s">
        <v>346</v>
      </c>
      <c r="L33" s="36">
        <v>-5130916</v>
      </c>
      <c r="N33" s="25" t="s">
        <v>48</v>
      </c>
      <c r="O33" s="25"/>
    </row>
    <row r="34" spans="1:15" ht="38.25" x14ac:dyDescent="0.2">
      <c r="A34" s="25">
        <v>32</v>
      </c>
      <c r="B34" s="26">
        <v>113</v>
      </c>
      <c r="C34" s="28" t="s">
        <v>98</v>
      </c>
      <c r="D34" s="31">
        <v>886</v>
      </c>
      <c r="E34" s="28" t="s">
        <v>88</v>
      </c>
      <c r="F34" s="28" t="s">
        <v>88</v>
      </c>
      <c r="G34" s="28" t="s">
        <v>28</v>
      </c>
      <c r="H34" s="30">
        <v>44911</v>
      </c>
      <c r="I34" s="28" t="s">
        <v>60</v>
      </c>
      <c r="J34" s="28" t="s">
        <v>117</v>
      </c>
      <c r="K34" s="103" t="s">
        <v>347</v>
      </c>
      <c r="L34" s="36">
        <v>-5129748</v>
      </c>
      <c r="N34" s="25" t="s">
        <v>48</v>
      </c>
      <c r="O34" s="25"/>
    </row>
    <row r="35" spans="1:15" ht="38.25" x14ac:dyDescent="0.2">
      <c r="A35" s="25">
        <v>33</v>
      </c>
      <c r="B35" s="26">
        <v>102</v>
      </c>
      <c r="C35" s="28" t="s">
        <v>98</v>
      </c>
      <c r="D35" s="29">
        <v>2272</v>
      </c>
      <c r="E35" s="28" t="s">
        <v>88</v>
      </c>
      <c r="F35" s="28" t="s">
        <v>88</v>
      </c>
      <c r="G35" s="28" t="s">
        <v>28</v>
      </c>
      <c r="H35" s="30">
        <v>44889</v>
      </c>
      <c r="I35" s="28" t="s">
        <v>60</v>
      </c>
      <c r="J35" s="28" t="s">
        <v>118</v>
      </c>
      <c r="K35" s="103" t="s">
        <v>348</v>
      </c>
      <c r="L35" s="36">
        <v>-5128587</v>
      </c>
      <c r="N35" s="25" t="s">
        <v>48</v>
      </c>
      <c r="O35" s="25"/>
    </row>
    <row r="36" spans="1:15" ht="38.25" x14ac:dyDescent="0.2">
      <c r="A36" s="25">
        <v>34</v>
      </c>
      <c r="B36" s="26">
        <v>104</v>
      </c>
      <c r="C36" s="28" t="s">
        <v>98</v>
      </c>
      <c r="D36" s="29">
        <v>2091</v>
      </c>
      <c r="E36" s="28" t="s">
        <v>88</v>
      </c>
      <c r="F36" s="28" t="s">
        <v>88</v>
      </c>
      <c r="G36" s="28" t="s">
        <v>28</v>
      </c>
      <c r="H36" s="30">
        <v>44889</v>
      </c>
      <c r="I36" s="28" t="s">
        <v>60</v>
      </c>
      <c r="J36" s="28" t="s">
        <v>119</v>
      </c>
      <c r="K36" s="103" t="s">
        <v>349</v>
      </c>
      <c r="L36" s="36">
        <v>-5126191</v>
      </c>
      <c r="N36" s="25" t="s">
        <v>48</v>
      </c>
      <c r="O36" s="25"/>
    </row>
    <row r="37" spans="1:15" ht="38.25" x14ac:dyDescent="0.2">
      <c r="A37" s="25">
        <v>35</v>
      </c>
      <c r="B37" s="26">
        <v>103</v>
      </c>
      <c r="C37" s="28" t="s">
        <v>98</v>
      </c>
      <c r="D37" s="29">
        <v>1014</v>
      </c>
      <c r="E37" s="28" t="s">
        <v>88</v>
      </c>
      <c r="F37" s="28" t="s">
        <v>88</v>
      </c>
      <c r="G37" s="28" t="s">
        <v>28</v>
      </c>
      <c r="H37" s="30">
        <v>44889</v>
      </c>
      <c r="I37" s="28" t="s">
        <v>60</v>
      </c>
      <c r="J37" s="28" t="s">
        <v>120</v>
      </c>
      <c r="K37" s="103" t="s">
        <v>350</v>
      </c>
      <c r="L37" s="36">
        <v>-5127263</v>
      </c>
      <c r="N37" s="25" t="s">
        <v>48</v>
      </c>
      <c r="O37" s="25"/>
    </row>
    <row r="38" spans="1:15" ht="38.25" x14ac:dyDescent="0.2">
      <c r="A38" s="25">
        <v>36</v>
      </c>
      <c r="B38" s="26">
        <v>133</v>
      </c>
      <c r="C38" s="28" t="s">
        <v>98</v>
      </c>
      <c r="D38" s="29">
        <v>3565</v>
      </c>
      <c r="E38" s="28" t="s">
        <v>90</v>
      </c>
      <c r="F38" s="28" t="s">
        <v>90</v>
      </c>
      <c r="G38" s="28" t="s">
        <v>28</v>
      </c>
      <c r="H38" s="30">
        <v>44896</v>
      </c>
      <c r="I38" s="28" t="s">
        <v>60</v>
      </c>
      <c r="J38" s="28" t="s">
        <v>104</v>
      </c>
      <c r="K38" s="103" t="s">
        <v>351</v>
      </c>
      <c r="L38" s="36">
        <v>-5120041</v>
      </c>
      <c r="N38" s="25" t="s">
        <v>48</v>
      </c>
      <c r="O38" s="25"/>
    </row>
    <row r="39" spans="1:15" ht="38.25" x14ac:dyDescent="0.2">
      <c r="A39" s="25">
        <v>37</v>
      </c>
      <c r="B39" s="26">
        <v>33</v>
      </c>
      <c r="C39" s="28" t="s">
        <v>98</v>
      </c>
      <c r="D39" s="31">
        <v>559</v>
      </c>
      <c r="E39" s="28" t="s">
        <v>91</v>
      </c>
      <c r="F39" s="28" t="s">
        <v>91</v>
      </c>
      <c r="G39" s="28" t="s">
        <v>28</v>
      </c>
      <c r="H39" s="30">
        <v>44896</v>
      </c>
      <c r="I39" s="28" t="s">
        <v>60</v>
      </c>
      <c r="J39" s="28" t="s">
        <v>121</v>
      </c>
      <c r="K39" s="103" t="s">
        <v>352</v>
      </c>
      <c r="L39" s="36">
        <v>-5109824</v>
      </c>
      <c r="N39" s="25" t="s">
        <v>48</v>
      </c>
      <c r="O39" s="25"/>
    </row>
    <row r="40" spans="1:15" ht="38.25" x14ac:dyDescent="0.2">
      <c r="A40" s="25">
        <v>38</v>
      </c>
      <c r="B40" s="26">
        <v>30</v>
      </c>
      <c r="C40" s="28" t="s">
        <v>98</v>
      </c>
      <c r="D40" s="29">
        <v>1133</v>
      </c>
      <c r="E40" s="28" t="s">
        <v>91</v>
      </c>
      <c r="F40" s="28" t="s">
        <v>91</v>
      </c>
      <c r="G40" s="28" t="s">
        <v>28</v>
      </c>
      <c r="H40" s="30">
        <v>44889</v>
      </c>
      <c r="I40" s="28" t="s">
        <v>60</v>
      </c>
      <c r="J40" s="28" t="s">
        <v>122</v>
      </c>
      <c r="K40" s="103" t="s">
        <v>353</v>
      </c>
      <c r="L40" s="36">
        <v>-5108627</v>
      </c>
      <c r="N40" s="25" t="s">
        <v>48</v>
      </c>
      <c r="O40" s="33" t="s">
        <v>232</v>
      </c>
    </row>
    <row r="41" spans="1:15" ht="38.25" x14ac:dyDescent="0.2">
      <c r="A41" s="25">
        <v>39</v>
      </c>
      <c r="B41" s="26">
        <v>31</v>
      </c>
      <c r="C41" s="28" t="s">
        <v>98</v>
      </c>
      <c r="D41" s="29">
        <v>1097</v>
      </c>
      <c r="E41" s="28" t="s">
        <v>91</v>
      </c>
      <c r="F41" s="28" t="s">
        <v>91</v>
      </c>
      <c r="G41" s="28" t="s">
        <v>28</v>
      </c>
      <c r="H41" s="30">
        <v>44896</v>
      </c>
      <c r="I41" s="28" t="s">
        <v>60</v>
      </c>
      <c r="J41" s="28" t="s">
        <v>123</v>
      </c>
      <c r="K41" s="103" t="s">
        <v>354</v>
      </c>
      <c r="L41" s="36">
        <v>-5107683</v>
      </c>
      <c r="N41" s="25" t="s">
        <v>48</v>
      </c>
      <c r="O41" s="33" t="s">
        <v>232</v>
      </c>
    </row>
    <row r="42" spans="1:15" ht="38.25" x14ac:dyDescent="0.2">
      <c r="A42" s="25">
        <v>40</v>
      </c>
      <c r="B42" s="26">
        <v>34</v>
      </c>
      <c r="C42" s="28" t="s">
        <v>98</v>
      </c>
      <c r="D42" s="31">
        <v>460</v>
      </c>
      <c r="E42" s="28" t="s">
        <v>91</v>
      </c>
      <c r="F42" s="28" t="s">
        <v>91</v>
      </c>
      <c r="G42" s="28" t="s">
        <v>28</v>
      </c>
      <c r="H42" s="30">
        <v>44945</v>
      </c>
      <c r="I42" s="28" t="s">
        <v>60</v>
      </c>
      <c r="J42" s="28" t="s">
        <v>124</v>
      </c>
      <c r="K42" s="103" t="s">
        <v>355</v>
      </c>
      <c r="L42" s="36">
        <v>-5109315</v>
      </c>
      <c r="N42" s="25" t="s">
        <v>48</v>
      </c>
      <c r="O42" s="33" t="s">
        <v>232</v>
      </c>
    </row>
    <row r="43" spans="1:15" ht="38.25" x14ac:dyDescent="0.2">
      <c r="A43" s="25">
        <v>41</v>
      </c>
      <c r="B43" s="26">
        <v>124</v>
      </c>
      <c r="C43" s="28" t="s">
        <v>98</v>
      </c>
      <c r="D43" s="31">
        <v>363</v>
      </c>
      <c r="E43" s="28" t="s">
        <v>88</v>
      </c>
      <c r="F43" s="28" t="s">
        <v>88</v>
      </c>
      <c r="G43" s="28" t="s">
        <v>28</v>
      </c>
      <c r="H43" s="30">
        <v>45140</v>
      </c>
      <c r="I43" s="28" t="s">
        <v>60</v>
      </c>
      <c r="J43" s="28" t="s">
        <v>125</v>
      </c>
      <c r="K43" s="103" t="s">
        <v>356</v>
      </c>
      <c r="L43" s="36">
        <v>-5131869</v>
      </c>
      <c r="N43" s="25" t="s">
        <v>48</v>
      </c>
      <c r="O43" s="25"/>
    </row>
    <row r="44" spans="1:15" ht="38.25" x14ac:dyDescent="0.2">
      <c r="A44" s="25">
        <v>42</v>
      </c>
      <c r="B44" s="26">
        <v>117</v>
      </c>
      <c r="C44" s="28" t="s">
        <v>98</v>
      </c>
      <c r="D44" s="29">
        <v>4151</v>
      </c>
      <c r="E44" s="28" t="s">
        <v>88</v>
      </c>
      <c r="F44" s="28" t="s">
        <v>88</v>
      </c>
      <c r="G44" s="28" t="s">
        <v>28</v>
      </c>
      <c r="H44" s="30">
        <v>44945</v>
      </c>
      <c r="I44" s="28" t="s">
        <v>60</v>
      </c>
      <c r="J44" s="28" t="s">
        <v>126</v>
      </c>
      <c r="K44" s="103" t="s">
        <v>357</v>
      </c>
      <c r="L44" s="36">
        <v>-5134597</v>
      </c>
      <c r="N44" s="25" t="s">
        <v>48</v>
      </c>
      <c r="O44" s="25"/>
    </row>
    <row r="45" spans="1:15" ht="38.25" x14ac:dyDescent="0.2">
      <c r="A45" s="25">
        <v>43</v>
      </c>
      <c r="B45" s="26">
        <v>119</v>
      </c>
      <c r="C45" s="28" t="s">
        <v>98</v>
      </c>
      <c r="D45" s="31">
        <v>518</v>
      </c>
      <c r="E45" s="28" t="s">
        <v>88</v>
      </c>
      <c r="F45" s="28" t="s">
        <v>88</v>
      </c>
      <c r="G45" s="28" t="s">
        <v>28</v>
      </c>
      <c r="H45" s="30">
        <v>44945</v>
      </c>
      <c r="I45" s="28" t="s">
        <v>60</v>
      </c>
      <c r="J45" s="28" t="s">
        <v>127</v>
      </c>
      <c r="K45" s="103" t="s">
        <v>358</v>
      </c>
      <c r="L45" s="36">
        <v>-5131766</v>
      </c>
      <c r="N45" s="25" t="s">
        <v>48</v>
      </c>
      <c r="O45" s="25"/>
    </row>
    <row r="46" spans="1:15" ht="38.25" x14ac:dyDescent="0.2">
      <c r="A46" s="25">
        <v>44</v>
      </c>
      <c r="B46" s="26">
        <v>38</v>
      </c>
      <c r="C46" s="28" t="s">
        <v>98</v>
      </c>
      <c r="D46" s="29">
        <v>3946</v>
      </c>
      <c r="E46" s="28" t="s">
        <v>91</v>
      </c>
      <c r="F46" s="28" t="s">
        <v>91</v>
      </c>
      <c r="G46" s="28" t="s">
        <v>28</v>
      </c>
      <c r="H46" s="30">
        <v>45152</v>
      </c>
      <c r="I46" s="28" t="s">
        <v>60</v>
      </c>
      <c r="J46" s="28" t="s">
        <v>128</v>
      </c>
      <c r="K46" s="103" t="s">
        <v>359</v>
      </c>
      <c r="L46" s="36">
        <v>-5112874</v>
      </c>
      <c r="N46" s="25" t="s">
        <v>48</v>
      </c>
      <c r="O46" s="33" t="s">
        <v>233</v>
      </c>
    </row>
    <row r="47" spans="1:15" ht="38.25" x14ac:dyDescent="0.2">
      <c r="A47" s="25">
        <v>45</v>
      </c>
      <c r="B47" s="26">
        <v>64</v>
      </c>
      <c r="C47" s="28" t="s">
        <v>98</v>
      </c>
      <c r="D47" s="31">
        <v>846</v>
      </c>
      <c r="E47" s="28" t="s">
        <v>89</v>
      </c>
      <c r="F47" s="28" t="s">
        <v>89</v>
      </c>
      <c r="G47" s="28" t="s">
        <v>28</v>
      </c>
      <c r="H47" s="30">
        <v>45140</v>
      </c>
      <c r="I47" s="28" t="s">
        <v>60</v>
      </c>
      <c r="J47" s="28" t="s">
        <v>129</v>
      </c>
      <c r="K47" s="103" t="s">
        <v>360</v>
      </c>
      <c r="L47" s="36">
        <v>-5111746</v>
      </c>
      <c r="N47" s="25" t="s">
        <v>48</v>
      </c>
      <c r="O47" s="25"/>
    </row>
    <row r="48" spans="1:15" ht="38.25" x14ac:dyDescent="0.2">
      <c r="A48" s="25">
        <v>46</v>
      </c>
      <c r="B48" s="26">
        <v>53</v>
      </c>
      <c r="C48" s="28" t="s">
        <v>98</v>
      </c>
      <c r="D48" s="29">
        <v>3628</v>
      </c>
      <c r="E48" s="28" t="s">
        <v>89</v>
      </c>
      <c r="F48" s="28" t="s">
        <v>89</v>
      </c>
      <c r="G48" s="28" t="s">
        <v>28</v>
      </c>
      <c r="H48" s="30">
        <v>45139</v>
      </c>
      <c r="I48" s="28" t="s">
        <v>60</v>
      </c>
      <c r="J48" s="28" t="s">
        <v>130</v>
      </c>
      <c r="K48" s="103" t="s">
        <v>361</v>
      </c>
      <c r="L48" s="36">
        <v>-5115309</v>
      </c>
      <c r="N48" s="25" t="s">
        <v>48</v>
      </c>
      <c r="O48" s="33" t="s">
        <v>234</v>
      </c>
    </row>
    <row r="49" spans="1:15" ht="38.25" x14ac:dyDescent="0.2">
      <c r="A49" s="25">
        <v>47</v>
      </c>
      <c r="B49" s="26">
        <v>57</v>
      </c>
      <c r="C49" s="28" t="s">
        <v>98</v>
      </c>
      <c r="D49" s="29">
        <v>3820</v>
      </c>
      <c r="E49" s="28" t="s">
        <v>89</v>
      </c>
      <c r="F49" s="28" t="s">
        <v>89</v>
      </c>
      <c r="G49" s="28" t="s">
        <v>28</v>
      </c>
      <c r="H49" s="30">
        <v>45139</v>
      </c>
      <c r="I49" s="28" t="s">
        <v>60</v>
      </c>
      <c r="J49" s="28" t="s">
        <v>131</v>
      </c>
      <c r="K49" s="103" t="s">
        <v>362</v>
      </c>
      <c r="L49" s="36">
        <v>-5112469</v>
      </c>
      <c r="N49" s="25" t="s">
        <v>48</v>
      </c>
      <c r="O49" s="33" t="s">
        <v>234</v>
      </c>
    </row>
    <row r="50" spans="1:15" ht="38.25" x14ac:dyDescent="0.2">
      <c r="A50" s="25">
        <v>48</v>
      </c>
      <c r="B50" s="26">
        <v>105</v>
      </c>
      <c r="C50" s="28" t="s">
        <v>98</v>
      </c>
      <c r="D50" s="31">
        <v>975</v>
      </c>
      <c r="E50" s="28" t="s">
        <v>88</v>
      </c>
      <c r="F50" s="28" t="s">
        <v>88</v>
      </c>
      <c r="G50" s="28" t="s">
        <v>28</v>
      </c>
      <c r="H50" s="30">
        <v>44896</v>
      </c>
      <c r="I50" s="28" t="s">
        <v>60</v>
      </c>
      <c r="J50" s="28" t="s">
        <v>132</v>
      </c>
      <c r="K50" s="103" t="s">
        <v>363</v>
      </c>
      <c r="L50" s="36">
        <v>-5139919</v>
      </c>
      <c r="N50" s="25" t="s">
        <v>48</v>
      </c>
      <c r="O50" s="25"/>
    </row>
    <row r="51" spans="1:15" ht="38.25" x14ac:dyDescent="0.2">
      <c r="A51" s="25">
        <v>49</v>
      </c>
      <c r="B51" s="26">
        <v>116</v>
      </c>
      <c r="C51" s="28" t="s">
        <v>98</v>
      </c>
      <c r="D51" s="29">
        <v>2134</v>
      </c>
      <c r="E51" s="28" t="s">
        <v>88</v>
      </c>
      <c r="F51" s="28" t="s">
        <v>88</v>
      </c>
      <c r="G51" s="28" t="s">
        <v>28</v>
      </c>
      <c r="H51" s="30">
        <v>44916</v>
      </c>
      <c r="I51" s="28" t="s">
        <v>60</v>
      </c>
      <c r="J51" s="28" t="s">
        <v>133</v>
      </c>
      <c r="K51" s="103" t="s">
        <v>364</v>
      </c>
      <c r="L51" s="36">
        <v>-5132761</v>
      </c>
      <c r="N51" s="25" t="s">
        <v>48</v>
      </c>
      <c r="O51" s="25"/>
    </row>
    <row r="52" spans="1:15" ht="38.25" x14ac:dyDescent="0.2">
      <c r="A52" s="25">
        <v>50</v>
      </c>
      <c r="B52" s="26">
        <v>130</v>
      </c>
      <c r="C52" s="28" t="s">
        <v>98</v>
      </c>
      <c r="D52" s="29">
        <v>2884</v>
      </c>
      <c r="E52" s="28" t="s">
        <v>88</v>
      </c>
      <c r="F52" s="28" t="s">
        <v>88</v>
      </c>
      <c r="G52" s="28" t="s">
        <v>28</v>
      </c>
      <c r="H52" s="30">
        <v>45152</v>
      </c>
      <c r="I52" s="28" t="s">
        <v>60</v>
      </c>
      <c r="J52" s="28" t="s">
        <v>134</v>
      </c>
      <c r="K52" s="103" t="s">
        <v>365</v>
      </c>
      <c r="L52" s="36">
        <v>-5129723</v>
      </c>
      <c r="N52" s="25" t="s">
        <v>48</v>
      </c>
      <c r="O52" s="25"/>
    </row>
    <row r="53" spans="1:15" ht="38.25" x14ac:dyDescent="0.2">
      <c r="A53" s="25">
        <v>51</v>
      </c>
      <c r="B53" s="26">
        <v>117</v>
      </c>
      <c r="C53" s="28" t="s">
        <v>98</v>
      </c>
      <c r="D53" s="29">
        <v>1313</v>
      </c>
      <c r="E53" s="28" t="s">
        <v>90</v>
      </c>
      <c r="F53" s="28" t="s">
        <v>90</v>
      </c>
      <c r="G53" s="28" t="s">
        <v>28</v>
      </c>
      <c r="H53" s="30">
        <v>44222</v>
      </c>
      <c r="I53" s="28" t="s">
        <v>60</v>
      </c>
      <c r="J53" s="28" t="s">
        <v>135</v>
      </c>
      <c r="K53" s="103" t="s">
        <v>366</v>
      </c>
      <c r="L53" s="36">
        <v>-5120928</v>
      </c>
      <c r="N53" s="25" t="s">
        <v>48</v>
      </c>
      <c r="O53" s="25"/>
    </row>
    <row r="54" spans="1:15" ht="38.25" x14ac:dyDescent="0.2">
      <c r="A54" s="25">
        <v>52</v>
      </c>
      <c r="B54" s="26">
        <v>112</v>
      </c>
      <c r="C54" s="28" t="s">
        <v>98</v>
      </c>
      <c r="D54" s="29">
        <v>2015</v>
      </c>
      <c r="E54" s="28" t="s">
        <v>90</v>
      </c>
      <c r="F54" s="28" t="s">
        <v>90</v>
      </c>
      <c r="G54" s="28" t="s">
        <v>28</v>
      </c>
      <c r="H54" s="30">
        <v>44221</v>
      </c>
      <c r="I54" s="28" t="s">
        <v>60</v>
      </c>
      <c r="J54" s="28" t="s">
        <v>136</v>
      </c>
      <c r="K54" s="103" t="s">
        <v>367</v>
      </c>
      <c r="L54" s="36">
        <v>-5121238</v>
      </c>
      <c r="N54" s="25" t="s">
        <v>48</v>
      </c>
      <c r="O54" s="25"/>
    </row>
    <row r="55" spans="1:15" ht="38.25" x14ac:dyDescent="0.2">
      <c r="A55" s="25">
        <v>53</v>
      </c>
      <c r="B55" s="26">
        <v>132</v>
      </c>
      <c r="C55" s="28" t="s">
        <v>98</v>
      </c>
      <c r="D55" s="29">
        <v>1086</v>
      </c>
      <c r="E55" s="28" t="s">
        <v>137</v>
      </c>
      <c r="F55" s="28" t="s">
        <v>137</v>
      </c>
      <c r="G55" s="28" t="s">
        <v>28</v>
      </c>
      <c r="H55" s="30">
        <v>44896</v>
      </c>
      <c r="I55" s="28" t="s">
        <v>60</v>
      </c>
      <c r="J55" s="28" t="s">
        <v>138</v>
      </c>
      <c r="K55" s="103" t="s">
        <v>368</v>
      </c>
      <c r="L55" s="36">
        <v>-5123947</v>
      </c>
      <c r="N55" s="25" t="s">
        <v>48</v>
      </c>
      <c r="O55" s="25"/>
    </row>
    <row r="56" spans="1:15" ht="38.25" x14ac:dyDescent="0.2">
      <c r="A56" s="25">
        <v>54</v>
      </c>
      <c r="B56" s="26">
        <v>111</v>
      </c>
      <c r="C56" s="28" t="s">
        <v>98</v>
      </c>
      <c r="D56" s="29">
        <v>1144</v>
      </c>
      <c r="E56" s="28" t="s">
        <v>90</v>
      </c>
      <c r="F56" s="28" t="s">
        <v>90</v>
      </c>
      <c r="G56" s="28" t="s">
        <v>28</v>
      </c>
      <c r="H56" s="30">
        <v>44221</v>
      </c>
      <c r="I56" s="28" t="s">
        <v>60</v>
      </c>
      <c r="J56" s="28" t="s">
        <v>139</v>
      </c>
      <c r="K56" s="103" t="s">
        <v>369</v>
      </c>
      <c r="L56" s="36">
        <v>-5118223</v>
      </c>
      <c r="N56" s="25" t="s">
        <v>48</v>
      </c>
      <c r="O56" s="25"/>
    </row>
    <row r="57" spans="1:15" ht="38.25" x14ac:dyDescent="0.2">
      <c r="A57" s="25">
        <v>55</v>
      </c>
      <c r="B57" s="26">
        <v>138</v>
      </c>
      <c r="C57" s="28" t="s">
        <v>98</v>
      </c>
      <c r="D57" s="29">
        <v>2909</v>
      </c>
      <c r="E57" s="28" t="s">
        <v>90</v>
      </c>
      <c r="F57" s="28" t="s">
        <v>90</v>
      </c>
      <c r="G57" s="28" t="s">
        <v>28</v>
      </c>
      <c r="H57" s="30">
        <v>44911</v>
      </c>
      <c r="I57" s="28" t="s">
        <v>60</v>
      </c>
      <c r="J57" s="28" t="s">
        <v>140</v>
      </c>
      <c r="K57" s="103" t="s">
        <v>370</v>
      </c>
      <c r="L57" s="36">
        <v>-5119710</v>
      </c>
      <c r="N57" s="25" t="s">
        <v>48</v>
      </c>
      <c r="O57" s="25"/>
    </row>
    <row r="58" spans="1:15" ht="38.25" x14ac:dyDescent="0.2">
      <c r="A58" s="25">
        <v>56</v>
      </c>
      <c r="B58" s="26">
        <v>126</v>
      </c>
      <c r="C58" s="28" t="s">
        <v>98</v>
      </c>
      <c r="D58" s="31">
        <v>556</v>
      </c>
      <c r="E58" s="28" t="s">
        <v>90</v>
      </c>
      <c r="F58" s="28" t="s">
        <v>90</v>
      </c>
      <c r="G58" s="28" t="s">
        <v>28</v>
      </c>
      <c r="H58" s="30">
        <v>44919</v>
      </c>
      <c r="I58" s="28" t="s">
        <v>60</v>
      </c>
      <c r="J58" s="28" t="s">
        <v>141</v>
      </c>
      <c r="K58" s="103" t="s">
        <v>371</v>
      </c>
      <c r="L58" s="36">
        <v>-5119604</v>
      </c>
      <c r="N58" s="25" t="s">
        <v>48</v>
      </c>
      <c r="O58" s="25"/>
    </row>
    <row r="59" spans="1:15" ht="76.5" x14ac:dyDescent="0.2">
      <c r="A59" s="25">
        <v>57</v>
      </c>
      <c r="B59" s="26">
        <v>145</v>
      </c>
      <c r="C59" s="28" t="s">
        <v>98</v>
      </c>
      <c r="D59" s="29">
        <v>1037</v>
      </c>
      <c r="E59" s="28" t="s">
        <v>90</v>
      </c>
      <c r="F59" s="28" t="s">
        <v>90</v>
      </c>
      <c r="G59" s="28" t="s">
        <v>28</v>
      </c>
      <c r="H59" s="30">
        <v>45133</v>
      </c>
      <c r="I59" s="28" t="s">
        <v>60</v>
      </c>
      <c r="J59" s="28" t="s">
        <v>142</v>
      </c>
      <c r="K59" s="103" t="s">
        <v>372</v>
      </c>
      <c r="L59" s="36">
        <v>-5119985</v>
      </c>
      <c r="N59" s="25" t="s">
        <v>48</v>
      </c>
      <c r="O59" s="33" t="s">
        <v>235</v>
      </c>
    </row>
    <row r="60" spans="1:15" ht="38.25" x14ac:dyDescent="0.2">
      <c r="A60" s="25">
        <v>58</v>
      </c>
      <c r="B60" s="26">
        <v>139</v>
      </c>
      <c r="C60" s="28" t="s">
        <v>98</v>
      </c>
      <c r="D60" s="29">
        <v>1927</v>
      </c>
      <c r="E60" s="28" t="s">
        <v>90</v>
      </c>
      <c r="F60" s="28" t="s">
        <v>90</v>
      </c>
      <c r="G60" s="28" t="s">
        <v>28</v>
      </c>
      <c r="H60" s="30">
        <v>44911</v>
      </c>
      <c r="I60" s="28" t="s">
        <v>60</v>
      </c>
      <c r="J60" s="28" t="s">
        <v>143</v>
      </c>
      <c r="K60" s="103" t="s">
        <v>373</v>
      </c>
      <c r="L60" s="36">
        <v>-5119116</v>
      </c>
      <c r="N60" s="25" t="s">
        <v>48</v>
      </c>
      <c r="O60" s="25"/>
    </row>
    <row r="61" spans="1:15" ht="38.25" x14ac:dyDescent="0.2">
      <c r="A61" s="25">
        <v>59</v>
      </c>
      <c r="B61" s="26">
        <v>128</v>
      </c>
      <c r="C61" s="28" t="s">
        <v>98</v>
      </c>
      <c r="D61" s="31">
        <v>433</v>
      </c>
      <c r="E61" s="28" t="s">
        <v>90</v>
      </c>
      <c r="F61" s="28" t="s">
        <v>90</v>
      </c>
      <c r="G61" s="28" t="s">
        <v>28</v>
      </c>
      <c r="H61" s="30">
        <v>44889</v>
      </c>
      <c r="I61" s="28" t="s">
        <v>60</v>
      </c>
      <c r="J61" s="28" t="s">
        <v>144</v>
      </c>
      <c r="K61" s="103" t="s">
        <v>374</v>
      </c>
      <c r="L61" s="36">
        <v>-5118820</v>
      </c>
      <c r="N61" s="25" t="s">
        <v>48</v>
      </c>
      <c r="O61" s="25"/>
    </row>
    <row r="62" spans="1:15" ht="38.25" x14ac:dyDescent="0.2">
      <c r="A62" s="25">
        <v>60</v>
      </c>
      <c r="B62" s="26">
        <v>142</v>
      </c>
      <c r="C62" s="28" t="s">
        <v>98</v>
      </c>
      <c r="D62" s="31">
        <v>367</v>
      </c>
      <c r="E62" s="28" t="s">
        <v>90</v>
      </c>
      <c r="F62" s="28" t="s">
        <v>90</v>
      </c>
      <c r="G62" s="28" t="s">
        <v>28</v>
      </c>
      <c r="H62" s="30">
        <v>44945</v>
      </c>
      <c r="I62" s="28" t="s">
        <v>60</v>
      </c>
      <c r="J62" s="28" t="s">
        <v>145</v>
      </c>
      <c r="K62" s="103" t="s">
        <v>375</v>
      </c>
      <c r="L62" s="36">
        <v>-5117711</v>
      </c>
      <c r="N62" s="25" t="s">
        <v>48</v>
      </c>
      <c r="O62" s="25"/>
    </row>
    <row r="63" spans="1:15" ht="38.25" x14ac:dyDescent="0.2">
      <c r="A63" s="25">
        <v>61</v>
      </c>
      <c r="B63" s="26">
        <v>127</v>
      </c>
      <c r="C63" s="28" t="s">
        <v>98</v>
      </c>
      <c r="D63" s="31">
        <v>690</v>
      </c>
      <c r="E63" s="28" t="s">
        <v>90</v>
      </c>
      <c r="F63" s="28" t="s">
        <v>90</v>
      </c>
      <c r="G63" s="28" t="s">
        <v>28</v>
      </c>
      <c r="H63" s="30">
        <v>44889</v>
      </c>
      <c r="I63" s="28" t="s">
        <v>60</v>
      </c>
      <c r="J63" s="28" t="s">
        <v>146</v>
      </c>
      <c r="K63" s="103" t="s">
        <v>376</v>
      </c>
      <c r="L63" s="36">
        <v>-5117597</v>
      </c>
      <c r="N63" s="25" t="s">
        <v>48</v>
      </c>
      <c r="O63" s="25"/>
    </row>
    <row r="64" spans="1:15" ht="38.25" x14ac:dyDescent="0.2">
      <c r="A64" s="25">
        <v>62</v>
      </c>
      <c r="B64" s="26">
        <v>137</v>
      </c>
      <c r="C64" s="28" t="s">
        <v>98</v>
      </c>
      <c r="D64" s="29">
        <v>1142</v>
      </c>
      <c r="E64" s="28" t="s">
        <v>90</v>
      </c>
      <c r="F64" s="28" t="s">
        <v>90</v>
      </c>
      <c r="G64" s="28" t="s">
        <v>28</v>
      </c>
      <c r="H64" s="30">
        <v>44911</v>
      </c>
      <c r="I64" s="28" t="s">
        <v>60</v>
      </c>
      <c r="J64" s="28" t="s">
        <v>147</v>
      </c>
      <c r="K64" s="103" t="s">
        <v>377</v>
      </c>
      <c r="L64" s="36">
        <v>-5118457</v>
      </c>
      <c r="N64" s="25" t="s">
        <v>48</v>
      </c>
      <c r="O64" s="25"/>
    </row>
    <row r="65" spans="1:15" ht="38.25" x14ac:dyDescent="0.2">
      <c r="A65" s="25">
        <v>63</v>
      </c>
      <c r="B65" s="26">
        <v>154</v>
      </c>
      <c r="C65" s="28" t="s">
        <v>98</v>
      </c>
      <c r="D65" s="29">
        <v>1429</v>
      </c>
      <c r="E65" s="28" t="s">
        <v>90</v>
      </c>
      <c r="F65" s="28" t="s">
        <v>90</v>
      </c>
      <c r="G65" s="28" t="s">
        <v>28</v>
      </c>
      <c r="H65" s="30">
        <v>45140</v>
      </c>
      <c r="I65" s="28" t="s">
        <v>60</v>
      </c>
      <c r="J65" s="28" t="s">
        <v>148</v>
      </c>
      <c r="K65" s="103" t="s">
        <v>378</v>
      </c>
      <c r="L65" s="36">
        <v>-5118041</v>
      </c>
      <c r="N65" s="25" t="s">
        <v>48</v>
      </c>
      <c r="O65" s="25"/>
    </row>
    <row r="66" spans="1:15" ht="38.25" x14ac:dyDescent="0.2">
      <c r="A66" s="25">
        <v>64</v>
      </c>
      <c r="B66" s="26">
        <v>36</v>
      </c>
      <c r="C66" s="28" t="s">
        <v>98</v>
      </c>
      <c r="D66" s="29">
        <v>2650</v>
      </c>
      <c r="E66" s="28" t="s">
        <v>91</v>
      </c>
      <c r="F66" s="28" t="s">
        <v>91</v>
      </c>
      <c r="G66" s="28" t="s">
        <v>28</v>
      </c>
      <c r="H66" s="30">
        <v>45139</v>
      </c>
      <c r="I66" s="28" t="s">
        <v>60</v>
      </c>
      <c r="J66" s="28" t="s">
        <v>149</v>
      </c>
      <c r="K66" s="103" t="s">
        <v>379</v>
      </c>
      <c r="L66" s="36">
        <v>-5117817</v>
      </c>
      <c r="N66" s="25" t="s">
        <v>48</v>
      </c>
      <c r="O66" s="25"/>
    </row>
    <row r="67" spans="1:15" ht="38.25" x14ac:dyDescent="0.2">
      <c r="A67" s="25">
        <v>65</v>
      </c>
      <c r="B67" s="26">
        <v>37</v>
      </c>
      <c r="C67" s="28" t="s">
        <v>98</v>
      </c>
      <c r="D67" s="29">
        <v>2272</v>
      </c>
      <c r="E67" s="28" t="s">
        <v>91</v>
      </c>
      <c r="F67" s="28" t="s">
        <v>91</v>
      </c>
      <c r="G67" s="28" t="s">
        <v>28</v>
      </c>
      <c r="H67" s="30">
        <v>45139</v>
      </c>
      <c r="I67" s="28" t="s">
        <v>60</v>
      </c>
      <c r="J67" s="28" t="s">
        <v>150</v>
      </c>
      <c r="K67" s="103" t="s">
        <v>380</v>
      </c>
      <c r="L67" s="36">
        <v>-5117173</v>
      </c>
      <c r="N67" s="25" t="s">
        <v>48</v>
      </c>
      <c r="O67" s="25"/>
    </row>
    <row r="68" spans="1:15" ht="38.25" x14ac:dyDescent="0.2">
      <c r="A68" s="25">
        <v>66</v>
      </c>
      <c r="B68" s="26">
        <v>106</v>
      </c>
      <c r="C68" s="28" t="s">
        <v>98</v>
      </c>
      <c r="D68" s="29">
        <v>1309</v>
      </c>
      <c r="E68" s="28" t="s">
        <v>88</v>
      </c>
      <c r="F68" s="28" t="s">
        <v>88</v>
      </c>
      <c r="G68" s="28" t="s">
        <v>28</v>
      </c>
      <c r="H68" s="30">
        <v>44896</v>
      </c>
      <c r="I68" s="28" t="s">
        <v>60</v>
      </c>
      <c r="J68" s="28" t="s">
        <v>151</v>
      </c>
      <c r="K68" s="103" t="s">
        <v>381</v>
      </c>
      <c r="L68" s="36">
        <v>-5134289</v>
      </c>
      <c r="N68" s="25" t="s">
        <v>48</v>
      </c>
      <c r="O68" s="25"/>
    </row>
    <row r="69" spans="1:15" ht="38.25" x14ac:dyDescent="0.2">
      <c r="A69" s="25">
        <v>67</v>
      </c>
      <c r="B69" s="26">
        <v>109</v>
      </c>
      <c r="C69" s="28" t="s">
        <v>98</v>
      </c>
      <c r="D69" s="29">
        <v>1261</v>
      </c>
      <c r="E69" s="28" t="s">
        <v>88</v>
      </c>
      <c r="F69" s="28" t="s">
        <v>88</v>
      </c>
      <c r="G69" s="28" t="s">
        <v>28</v>
      </c>
      <c r="H69" s="30">
        <v>44911</v>
      </c>
      <c r="I69" s="28" t="s">
        <v>60</v>
      </c>
      <c r="J69" s="28" t="s">
        <v>152</v>
      </c>
      <c r="K69" s="103" t="s">
        <v>382</v>
      </c>
      <c r="L69" s="36">
        <v>-5133496</v>
      </c>
      <c r="N69" s="25" t="s">
        <v>48</v>
      </c>
      <c r="O69" s="25"/>
    </row>
    <row r="70" spans="1:15" ht="38.25" x14ac:dyDescent="0.2">
      <c r="A70" s="25">
        <v>68</v>
      </c>
      <c r="B70" s="26">
        <v>108</v>
      </c>
      <c r="C70" s="28" t="s">
        <v>98</v>
      </c>
      <c r="D70" s="29">
        <v>2334</v>
      </c>
      <c r="E70" s="28" t="s">
        <v>88</v>
      </c>
      <c r="F70" s="28" t="s">
        <v>88</v>
      </c>
      <c r="G70" s="28" t="s">
        <v>28</v>
      </c>
      <c r="H70" s="30">
        <v>44896</v>
      </c>
      <c r="I70" s="28" t="s">
        <v>60</v>
      </c>
      <c r="J70" s="28" t="s">
        <v>153</v>
      </c>
      <c r="K70" s="103" t="s">
        <v>383</v>
      </c>
      <c r="L70" s="36">
        <v>-5130668</v>
      </c>
      <c r="N70" s="25" t="s">
        <v>48</v>
      </c>
      <c r="O70" s="25"/>
    </row>
    <row r="71" spans="1:15" ht="38.25" x14ac:dyDescent="0.2">
      <c r="A71" s="25">
        <v>69</v>
      </c>
      <c r="B71" s="26">
        <v>155</v>
      </c>
      <c r="C71" s="28" t="s">
        <v>98</v>
      </c>
      <c r="D71" s="29">
        <v>1951</v>
      </c>
      <c r="E71" s="28" t="s">
        <v>154</v>
      </c>
      <c r="F71" s="28" t="s">
        <v>154</v>
      </c>
      <c r="G71" s="28" t="s">
        <v>28</v>
      </c>
      <c r="H71" s="30">
        <v>45140</v>
      </c>
      <c r="I71" s="28" t="s">
        <v>60</v>
      </c>
      <c r="J71" s="28" t="s">
        <v>155</v>
      </c>
      <c r="K71" s="103" t="s">
        <v>384</v>
      </c>
      <c r="L71" s="36">
        <v>-5120855</v>
      </c>
      <c r="N71" s="25" t="s">
        <v>48</v>
      </c>
      <c r="O71" s="25"/>
    </row>
    <row r="72" spans="1:15" ht="38.25" x14ac:dyDescent="0.2">
      <c r="A72" s="25">
        <v>70</v>
      </c>
      <c r="B72" s="26">
        <v>67</v>
      </c>
      <c r="C72" s="28" t="s">
        <v>98</v>
      </c>
      <c r="D72" s="29">
        <v>1501</v>
      </c>
      <c r="E72" s="28" t="s">
        <v>89</v>
      </c>
      <c r="F72" s="28" t="s">
        <v>89</v>
      </c>
      <c r="G72" s="28" t="s">
        <v>28</v>
      </c>
      <c r="H72" s="30">
        <v>45152</v>
      </c>
      <c r="I72" s="28" t="s">
        <v>60</v>
      </c>
      <c r="J72" s="28" t="s">
        <v>156</v>
      </c>
      <c r="K72" s="103" t="s">
        <v>385</v>
      </c>
      <c r="L72" s="36">
        <v>-5117195</v>
      </c>
      <c r="N72" s="25" t="s">
        <v>48</v>
      </c>
      <c r="O72" s="25"/>
    </row>
    <row r="73" spans="1:15" ht="38.25" x14ac:dyDescent="0.2">
      <c r="A73" s="25">
        <v>71</v>
      </c>
      <c r="B73" s="26">
        <v>152</v>
      </c>
      <c r="C73" s="28" t="s">
        <v>98</v>
      </c>
      <c r="D73" s="29">
        <v>1575</v>
      </c>
      <c r="E73" s="28" t="s">
        <v>89</v>
      </c>
      <c r="F73" s="34" t="s">
        <v>90</v>
      </c>
      <c r="G73" s="28" t="s">
        <v>28</v>
      </c>
      <c r="H73" s="30">
        <v>45139</v>
      </c>
      <c r="I73" s="28" t="s">
        <v>60</v>
      </c>
      <c r="J73" s="28" t="s">
        <v>157</v>
      </c>
      <c r="K73" s="103" t="s">
        <v>386</v>
      </c>
      <c r="L73" s="36">
        <v>-5113356</v>
      </c>
      <c r="N73" s="25" t="s">
        <v>48</v>
      </c>
      <c r="O73" s="25"/>
    </row>
    <row r="74" spans="1:15" ht="38.25" x14ac:dyDescent="0.2">
      <c r="A74" s="25">
        <v>72</v>
      </c>
      <c r="B74" s="26">
        <v>150</v>
      </c>
      <c r="C74" s="28" t="s">
        <v>98</v>
      </c>
      <c r="D74" s="29">
        <v>1476</v>
      </c>
      <c r="E74" s="28" t="s">
        <v>90</v>
      </c>
      <c r="F74" s="28" t="s">
        <v>90</v>
      </c>
      <c r="G74" s="28" t="s">
        <v>28</v>
      </c>
      <c r="H74" s="30">
        <v>45134</v>
      </c>
      <c r="I74" s="28" t="s">
        <v>60</v>
      </c>
      <c r="J74" s="28" t="s">
        <v>158</v>
      </c>
      <c r="K74" s="103" t="s">
        <v>387</v>
      </c>
      <c r="L74" s="36">
        <v>-5114525</v>
      </c>
      <c r="N74" s="25" t="s">
        <v>48</v>
      </c>
      <c r="O74" s="25"/>
    </row>
    <row r="75" spans="1:15" ht="38.25" x14ac:dyDescent="0.2">
      <c r="A75" s="25">
        <v>73</v>
      </c>
      <c r="B75" s="26">
        <v>149</v>
      </c>
      <c r="C75" s="28" t="s">
        <v>98</v>
      </c>
      <c r="D75" s="31">
        <v>920</v>
      </c>
      <c r="E75" s="28" t="s">
        <v>90</v>
      </c>
      <c r="F75" s="28" t="s">
        <v>90</v>
      </c>
      <c r="G75" s="28" t="s">
        <v>28</v>
      </c>
      <c r="H75" s="30">
        <v>45134</v>
      </c>
      <c r="I75" s="28" t="s">
        <v>60</v>
      </c>
      <c r="J75" s="28" t="s">
        <v>159</v>
      </c>
      <c r="K75" s="103" t="s">
        <v>388</v>
      </c>
      <c r="L75" s="36">
        <v>-5114938</v>
      </c>
      <c r="N75" s="25" t="s">
        <v>48</v>
      </c>
      <c r="O75" s="25"/>
    </row>
    <row r="76" spans="1:15" ht="38.25" x14ac:dyDescent="0.2">
      <c r="A76" s="25">
        <v>74</v>
      </c>
      <c r="B76" s="26">
        <v>69</v>
      </c>
      <c r="C76" s="28" t="s">
        <v>98</v>
      </c>
      <c r="D76" s="29">
        <v>1314</v>
      </c>
      <c r="E76" s="28" t="s">
        <v>89</v>
      </c>
      <c r="F76" s="28" t="s">
        <v>89</v>
      </c>
      <c r="G76" s="28" t="s">
        <v>28</v>
      </c>
      <c r="H76" s="30">
        <v>45152</v>
      </c>
      <c r="I76" s="28" t="s">
        <v>60</v>
      </c>
      <c r="J76" s="28" t="s">
        <v>160</v>
      </c>
      <c r="K76" s="103" t="s">
        <v>389</v>
      </c>
      <c r="L76" s="36">
        <v>-5110406</v>
      </c>
      <c r="N76" s="25" t="s">
        <v>48</v>
      </c>
      <c r="O76" s="25"/>
    </row>
    <row r="77" spans="1:15" ht="38.25" x14ac:dyDescent="0.2">
      <c r="A77" s="25">
        <v>75</v>
      </c>
      <c r="B77" s="26">
        <v>141</v>
      </c>
      <c r="C77" s="28" t="s">
        <v>98</v>
      </c>
      <c r="D77" s="29">
        <v>1468</v>
      </c>
      <c r="E77" s="28" t="s">
        <v>90</v>
      </c>
      <c r="F77" s="28" t="s">
        <v>90</v>
      </c>
      <c r="G77" s="28" t="s">
        <v>28</v>
      </c>
      <c r="H77" s="30">
        <v>44945</v>
      </c>
      <c r="I77" s="28" t="s">
        <v>60</v>
      </c>
      <c r="J77" s="28" t="s">
        <v>161</v>
      </c>
      <c r="K77" s="103" t="s">
        <v>390</v>
      </c>
      <c r="L77" s="36">
        <v>-5117938</v>
      </c>
      <c r="N77" s="25" t="s">
        <v>48</v>
      </c>
      <c r="O77" s="25"/>
    </row>
    <row r="78" spans="1:15" ht="38.25" x14ac:dyDescent="0.2">
      <c r="A78" s="25">
        <v>76</v>
      </c>
      <c r="B78" s="26">
        <v>127</v>
      </c>
      <c r="C78" s="28" t="s">
        <v>98</v>
      </c>
      <c r="D78" s="29">
        <v>2037</v>
      </c>
      <c r="E78" s="28" t="s">
        <v>88</v>
      </c>
      <c r="F78" s="28" t="s">
        <v>88</v>
      </c>
      <c r="G78" s="28" t="s">
        <v>28</v>
      </c>
      <c r="H78" s="30">
        <v>45141</v>
      </c>
      <c r="I78" s="28" t="s">
        <v>60</v>
      </c>
      <c r="J78" s="28" t="s">
        <v>162</v>
      </c>
      <c r="K78" s="103" t="s">
        <v>391</v>
      </c>
      <c r="L78" s="36">
        <v>-5131610</v>
      </c>
      <c r="N78" s="25" t="s">
        <v>48</v>
      </c>
      <c r="O78" s="25"/>
    </row>
    <row r="79" spans="1:15" ht="38.25" x14ac:dyDescent="0.2">
      <c r="A79" s="25">
        <v>77</v>
      </c>
      <c r="B79" s="26">
        <v>123</v>
      </c>
      <c r="C79" s="28" t="s">
        <v>98</v>
      </c>
      <c r="D79" s="29">
        <v>1028</v>
      </c>
      <c r="E79" s="28" t="s">
        <v>90</v>
      </c>
      <c r="F79" s="28" t="s">
        <v>90</v>
      </c>
      <c r="G79" s="28" t="s">
        <v>28</v>
      </c>
      <c r="H79" s="30">
        <v>44889</v>
      </c>
      <c r="I79" s="28" t="s">
        <v>60</v>
      </c>
      <c r="J79" s="28" t="s">
        <v>163</v>
      </c>
      <c r="K79" s="103" t="s">
        <v>392</v>
      </c>
      <c r="L79" s="36">
        <v>-5117203</v>
      </c>
      <c r="N79" s="25" t="s">
        <v>48</v>
      </c>
      <c r="O79" s="25"/>
    </row>
    <row r="80" spans="1:15" ht="38.25" x14ac:dyDescent="0.2">
      <c r="A80" s="25">
        <v>78</v>
      </c>
      <c r="B80" s="26">
        <v>114</v>
      </c>
      <c r="C80" s="28" t="s">
        <v>98</v>
      </c>
      <c r="D80" s="31">
        <v>118</v>
      </c>
      <c r="E80" s="28" t="s">
        <v>88</v>
      </c>
      <c r="F80" s="28" t="s">
        <v>88</v>
      </c>
      <c r="G80" s="28" t="s">
        <v>28</v>
      </c>
      <c r="H80" s="30">
        <v>44911</v>
      </c>
      <c r="I80" s="28" t="s">
        <v>60</v>
      </c>
      <c r="J80" s="28" t="s">
        <v>164</v>
      </c>
      <c r="K80" s="103" t="s">
        <v>393</v>
      </c>
      <c r="L80" s="36">
        <v>-5134463</v>
      </c>
      <c r="N80" s="25" t="s">
        <v>48</v>
      </c>
      <c r="O80" s="25"/>
    </row>
    <row r="81" spans="1:15" ht="38.25" x14ac:dyDescent="0.2">
      <c r="A81" s="25">
        <v>79</v>
      </c>
      <c r="B81" s="26">
        <v>118</v>
      </c>
      <c r="C81" s="28" t="s">
        <v>98</v>
      </c>
      <c r="D81" s="29">
        <v>1347</v>
      </c>
      <c r="E81" s="28" t="s">
        <v>88</v>
      </c>
      <c r="F81" s="28" t="s">
        <v>88</v>
      </c>
      <c r="G81" s="28" t="s">
        <v>28</v>
      </c>
      <c r="H81" s="30">
        <v>44945</v>
      </c>
      <c r="I81" s="28" t="s">
        <v>60</v>
      </c>
      <c r="J81" s="28" t="s">
        <v>165</v>
      </c>
      <c r="K81" s="103" t="s">
        <v>394</v>
      </c>
      <c r="L81" s="36">
        <v>-5133023</v>
      </c>
      <c r="N81" s="25" t="s">
        <v>48</v>
      </c>
      <c r="O81" s="25"/>
    </row>
    <row r="82" spans="1:15" ht="38.25" x14ac:dyDescent="0.2">
      <c r="A82" s="25">
        <v>80</v>
      </c>
      <c r="B82" s="26">
        <v>113</v>
      </c>
      <c r="C82" s="28" t="s">
        <v>98</v>
      </c>
      <c r="D82" s="29">
        <v>2715</v>
      </c>
      <c r="E82" s="28" t="s">
        <v>90</v>
      </c>
      <c r="F82" s="28" t="s">
        <v>90</v>
      </c>
      <c r="G82" s="28" t="s">
        <v>28</v>
      </c>
      <c r="H82" s="30">
        <v>44221</v>
      </c>
      <c r="I82" s="28" t="s">
        <v>60</v>
      </c>
      <c r="J82" s="28" t="s">
        <v>166</v>
      </c>
      <c r="K82" s="103" t="s">
        <v>395</v>
      </c>
      <c r="L82" s="36">
        <v>-5118600</v>
      </c>
      <c r="N82" s="25" t="s">
        <v>48</v>
      </c>
      <c r="O82" s="25"/>
    </row>
    <row r="83" spans="1:15" ht="38.25" x14ac:dyDescent="0.2">
      <c r="A83" s="25">
        <v>81</v>
      </c>
      <c r="B83" s="26">
        <v>116</v>
      </c>
      <c r="C83" s="28" t="s">
        <v>98</v>
      </c>
      <c r="D83" s="29">
        <v>1133</v>
      </c>
      <c r="E83" s="28" t="s">
        <v>90</v>
      </c>
      <c r="F83" s="28" t="s">
        <v>90</v>
      </c>
      <c r="G83" s="28" t="s">
        <v>28</v>
      </c>
      <c r="H83" s="30">
        <v>44222</v>
      </c>
      <c r="I83" s="28" t="s">
        <v>60</v>
      </c>
      <c r="J83" s="28" t="s">
        <v>167</v>
      </c>
      <c r="K83" s="103" t="s">
        <v>396</v>
      </c>
      <c r="L83" s="36">
        <v>-5117695</v>
      </c>
      <c r="N83" s="25" t="s">
        <v>48</v>
      </c>
      <c r="O83" s="25"/>
    </row>
    <row r="84" spans="1:15" ht="38.25" x14ac:dyDescent="0.2">
      <c r="A84" s="25">
        <v>82</v>
      </c>
      <c r="B84" s="26">
        <v>115</v>
      </c>
      <c r="C84" s="28" t="s">
        <v>98</v>
      </c>
      <c r="D84" s="31">
        <v>656</v>
      </c>
      <c r="E84" s="28" t="s">
        <v>90</v>
      </c>
      <c r="F84" s="28" t="s">
        <v>90</v>
      </c>
      <c r="G84" s="28" t="s">
        <v>28</v>
      </c>
      <c r="H84" s="30">
        <v>44222</v>
      </c>
      <c r="I84" s="28" t="s">
        <v>60</v>
      </c>
      <c r="J84" s="28" t="s">
        <v>168</v>
      </c>
      <c r="K84" s="103" t="s">
        <v>397</v>
      </c>
      <c r="L84" s="36">
        <v>-5117113</v>
      </c>
      <c r="N84" s="25" t="s">
        <v>48</v>
      </c>
      <c r="O84" s="25"/>
    </row>
    <row r="85" spans="1:15" ht="38.25" x14ac:dyDescent="0.2">
      <c r="A85" s="25">
        <v>83</v>
      </c>
      <c r="B85" s="26">
        <v>114</v>
      </c>
      <c r="C85" s="28" t="s">
        <v>98</v>
      </c>
      <c r="D85" s="29">
        <v>1370</v>
      </c>
      <c r="E85" s="28" t="s">
        <v>90</v>
      </c>
      <c r="F85" s="28" t="s">
        <v>90</v>
      </c>
      <c r="G85" s="28" t="s">
        <v>28</v>
      </c>
      <c r="H85" s="30">
        <v>44221</v>
      </c>
      <c r="I85" s="28" t="s">
        <v>60</v>
      </c>
      <c r="J85" s="28" t="s">
        <v>135</v>
      </c>
      <c r="K85" s="103" t="s">
        <v>398</v>
      </c>
      <c r="L85" s="36">
        <v>-5120096</v>
      </c>
      <c r="N85" s="25" t="s">
        <v>48</v>
      </c>
      <c r="O85" s="25"/>
    </row>
    <row r="86" spans="1:15" ht="38.25" x14ac:dyDescent="0.2">
      <c r="A86" s="25">
        <v>84</v>
      </c>
      <c r="B86" s="26">
        <v>125</v>
      </c>
      <c r="C86" s="28" t="s">
        <v>98</v>
      </c>
      <c r="D86" s="31">
        <v>610</v>
      </c>
      <c r="E86" s="28" t="s">
        <v>90</v>
      </c>
      <c r="F86" s="28" t="s">
        <v>90</v>
      </c>
      <c r="G86" s="28" t="s">
        <v>28</v>
      </c>
      <c r="H86" s="30">
        <v>44889</v>
      </c>
      <c r="I86" s="28" t="s">
        <v>60</v>
      </c>
      <c r="J86" s="28" t="s">
        <v>163</v>
      </c>
      <c r="K86" s="103" t="s">
        <v>399</v>
      </c>
      <c r="L86" s="36">
        <v>-5117918</v>
      </c>
      <c r="N86" s="25" t="s">
        <v>48</v>
      </c>
      <c r="O86" s="25"/>
    </row>
    <row r="87" spans="1:15" ht="38.25" x14ac:dyDescent="0.2">
      <c r="A87" s="25">
        <v>85</v>
      </c>
      <c r="B87" s="26">
        <v>124</v>
      </c>
      <c r="C87" s="28" t="s">
        <v>98</v>
      </c>
      <c r="D87" s="31">
        <v>715</v>
      </c>
      <c r="E87" s="28" t="s">
        <v>90</v>
      </c>
      <c r="F87" s="28" t="s">
        <v>90</v>
      </c>
      <c r="G87" s="28" t="s">
        <v>28</v>
      </c>
      <c r="H87" s="30">
        <v>44889</v>
      </c>
      <c r="I87" s="28" t="s">
        <v>60</v>
      </c>
      <c r="J87" s="28" t="s">
        <v>163</v>
      </c>
      <c r="K87" s="103" t="s">
        <v>400</v>
      </c>
      <c r="L87" s="36">
        <v>-5118525</v>
      </c>
      <c r="N87" s="25" t="s">
        <v>48</v>
      </c>
      <c r="O87" s="25"/>
    </row>
    <row r="88" spans="1:15" ht="38.25" x14ac:dyDescent="0.2">
      <c r="A88" s="25">
        <v>86</v>
      </c>
      <c r="B88" s="26">
        <v>130</v>
      </c>
      <c r="C88" s="28" t="s">
        <v>98</v>
      </c>
      <c r="D88" s="29">
        <v>2018</v>
      </c>
      <c r="E88" s="28" t="s">
        <v>90</v>
      </c>
      <c r="F88" s="28" t="s">
        <v>90</v>
      </c>
      <c r="G88" s="28" t="s">
        <v>28</v>
      </c>
      <c r="H88" s="30">
        <v>44889</v>
      </c>
      <c r="I88" s="28" t="s">
        <v>60</v>
      </c>
      <c r="J88" s="28" t="s">
        <v>143</v>
      </c>
      <c r="K88" s="103" t="s">
        <v>401</v>
      </c>
      <c r="L88" s="36">
        <v>-5118686</v>
      </c>
      <c r="N88" s="25" t="s">
        <v>48</v>
      </c>
      <c r="O88" s="25"/>
    </row>
    <row r="89" spans="1:15" ht="38.25" x14ac:dyDescent="0.2">
      <c r="A89" s="25">
        <v>87</v>
      </c>
      <c r="B89" s="26">
        <v>131</v>
      </c>
      <c r="C89" s="28" t="s">
        <v>98</v>
      </c>
      <c r="D89" s="29">
        <v>1117</v>
      </c>
      <c r="E89" s="28" t="s">
        <v>90</v>
      </c>
      <c r="F89" s="28" t="s">
        <v>90</v>
      </c>
      <c r="G89" s="28" t="s">
        <v>28</v>
      </c>
      <c r="H89" s="30">
        <v>44896</v>
      </c>
      <c r="I89" s="28" t="s">
        <v>60</v>
      </c>
      <c r="J89" s="28" t="s">
        <v>143</v>
      </c>
      <c r="K89" s="103" t="s">
        <v>402</v>
      </c>
      <c r="L89" s="36">
        <v>-5118005</v>
      </c>
      <c r="N89" s="25" t="s">
        <v>48</v>
      </c>
      <c r="O89" s="25"/>
    </row>
    <row r="90" spans="1:15" ht="38.25" x14ac:dyDescent="0.2">
      <c r="A90" s="25">
        <v>88</v>
      </c>
      <c r="B90" s="26">
        <v>122</v>
      </c>
      <c r="C90" s="28" t="s">
        <v>98</v>
      </c>
      <c r="D90" s="29">
        <v>1935</v>
      </c>
      <c r="E90" s="28" t="s">
        <v>90</v>
      </c>
      <c r="F90" s="28" t="s">
        <v>90</v>
      </c>
      <c r="G90" s="28" t="s">
        <v>28</v>
      </c>
      <c r="H90" s="30">
        <v>44889</v>
      </c>
      <c r="I90" s="28" t="s">
        <v>60</v>
      </c>
      <c r="J90" s="28" t="s">
        <v>147</v>
      </c>
      <c r="K90" s="103" t="s">
        <v>403</v>
      </c>
      <c r="L90" s="36">
        <v>-5117466</v>
      </c>
      <c r="N90" s="25" t="s">
        <v>48</v>
      </c>
      <c r="O90" s="33" t="s">
        <v>236</v>
      </c>
    </row>
    <row r="91" spans="1:15" ht="51" x14ac:dyDescent="0.2">
      <c r="A91" s="25">
        <v>89</v>
      </c>
      <c r="B91" s="26">
        <v>140</v>
      </c>
      <c r="C91" s="28" t="s">
        <v>98</v>
      </c>
      <c r="D91" s="29">
        <v>1047</v>
      </c>
      <c r="E91" s="28" t="s">
        <v>90</v>
      </c>
      <c r="F91" s="28" t="s">
        <v>90</v>
      </c>
      <c r="G91" s="28" t="s">
        <v>28</v>
      </c>
      <c r="H91" s="30">
        <v>44945</v>
      </c>
      <c r="I91" s="28" t="s">
        <v>60</v>
      </c>
      <c r="J91" s="28" t="s">
        <v>169</v>
      </c>
      <c r="K91" s="103" t="s">
        <v>404</v>
      </c>
      <c r="L91" s="36">
        <v>-5116794</v>
      </c>
      <c r="N91" s="25" t="s">
        <v>48</v>
      </c>
      <c r="O91" s="33" t="s">
        <v>237</v>
      </c>
    </row>
    <row r="92" spans="1:15" ht="38.25" x14ac:dyDescent="0.2">
      <c r="A92" s="25">
        <v>90</v>
      </c>
      <c r="B92" s="26">
        <v>144</v>
      </c>
      <c r="C92" s="28" t="s">
        <v>98</v>
      </c>
      <c r="D92" s="31">
        <v>704</v>
      </c>
      <c r="E92" s="28" t="s">
        <v>90</v>
      </c>
      <c r="F92" s="28" t="s">
        <v>90</v>
      </c>
      <c r="G92" s="28" t="s">
        <v>28</v>
      </c>
      <c r="H92" s="30">
        <v>45133</v>
      </c>
      <c r="I92" s="28" t="s">
        <v>60</v>
      </c>
      <c r="J92" s="28" t="s">
        <v>170</v>
      </c>
      <c r="K92" s="103" t="s">
        <v>405</v>
      </c>
      <c r="L92" s="36">
        <v>-5118193</v>
      </c>
      <c r="N92" s="25" t="s">
        <v>48</v>
      </c>
      <c r="O92" s="25">
        <v>651</v>
      </c>
    </row>
    <row r="93" spans="1:15" ht="38.25" x14ac:dyDescent="0.2">
      <c r="A93" s="25">
        <v>91</v>
      </c>
      <c r="B93" s="26">
        <v>146</v>
      </c>
      <c r="C93" s="28" t="s">
        <v>98</v>
      </c>
      <c r="D93" s="31">
        <v>536</v>
      </c>
      <c r="E93" s="28" t="s">
        <v>90</v>
      </c>
      <c r="F93" s="28" t="s">
        <v>90</v>
      </c>
      <c r="G93" s="28" t="s">
        <v>28</v>
      </c>
      <c r="H93" s="30">
        <v>45133</v>
      </c>
      <c r="I93" s="28" t="s">
        <v>60</v>
      </c>
      <c r="J93" s="28" t="s">
        <v>171</v>
      </c>
      <c r="K93" s="103" t="s">
        <v>406</v>
      </c>
      <c r="L93" s="36">
        <v>-5116968</v>
      </c>
      <c r="N93" s="25" t="s">
        <v>48</v>
      </c>
      <c r="O93" s="25"/>
    </row>
    <row r="94" spans="1:15" ht="38.25" x14ac:dyDescent="0.2">
      <c r="A94" s="25">
        <v>92</v>
      </c>
      <c r="B94" s="26">
        <v>35</v>
      </c>
      <c r="C94" s="28" t="s">
        <v>98</v>
      </c>
      <c r="D94" s="29">
        <v>1948</v>
      </c>
      <c r="E94" s="28" t="s">
        <v>91</v>
      </c>
      <c r="F94" s="28" t="s">
        <v>91</v>
      </c>
      <c r="G94" s="28" t="s">
        <v>28</v>
      </c>
      <c r="H94" s="30">
        <v>45134</v>
      </c>
      <c r="I94" s="28" t="s">
        <v>60</v>
      </c>
      <c r="J94" s="28" t="s">
        <v>172</v>
      </c>
      <c r="K94" s="103" t="s">
        <v>407</v>
      </c>
      <c r="L94" s="36">
        <v>-5115360</v>
      </c>
      <c r="N94" s="25" t="s">
        <v>48</v>
      </c>
      <c r="O94" s="25"/>
    </row>
    <row r="95" spans="1:15" ht="38.25" x14ac:dyDescent="0.2">
      <c r="A95" s="25">
        <v>93</v>
      </c>
      <c r="B95" s="26">
        <v>157</v>
      </c>
      <c r="C95" s="28" t="s">
        <v>98</v>
      </c>
      <c r="D95" s="29">
        <v>2066</v>
      </c>
      <c r="E95" s="28" t="s">
        <v>90</v>
      </c>
      <c r="F95" s="28" t="s">
        <v>90</v>
      </c>
      <c r="G95" s="28" t="s">
        <v>28</v>
      </c>
      <c r="H95" s="30">
        <v>45141</v>
      </c>
      <c r="I95" s="28" t="s">
        <v>60</v>
      </c>
      <c r="J95" s="28" t="s">
        <v>173</v>
      </c>
      <c r="K95" s="103" t="s">
        <v>408</v>
      </c>
      <c r="L95" s="36">
        <v>-5116418</v>
      </c>
      <c r="N95" s="25" t="s">
        <v>48</v>
      </c>
      <c r="O95" s="25"/>
    </row>
    <row r="96" spans="1:15" ht="38.25" x14ac:dyDescent="0.2">
      <c r="A96" s="25">
        <v>94</v>
      </c>
      <c r="B96" s="26">
        <v>158</v>
      </c>
      <c r="C96" s="28" t="s">
        <v>98</v>
      </c>
      <c r="D96" s="29">
        <v>1795</v>
      </c>
      <c r="E96" s="28" t="s">
        <v>90</v>
      </c>
      <c r="F96" s="28" t="s">
        <v>90</v>
      </c>
      <c r="G96" s="28" t="s">
        <v>28</v>
      </c>
      <c r="H96" s="30">
        <v>45141</v>
      </c>
      <c r="I96" s="28" t="s">
        <v>60</v>
      </c>
      <c r="J96" s="28" t="s">
        <v>174</v>
      </c>
      <c r="K96" s="103" t="s">
        <v>409</v>
      </c>
      <c r="L96" s="36">
        <v>-5117609</v>
      </c>
      <c r="N96" s="25" t="s">
        <v>48</v>
      </c>
      <c r="O96" s="25"/>
    </row>
    <row r="97" spans="1:15" ht="38.25" x14ac:dyDescent="0.2">
      <c r="A97" s="25">
        <v>95</v>
      </c>
      <c r="B97" s="26">
        <v>153</v>
      </c>
      <c r="C97" s="28" t="s">
        <v>98</v>
      </c>
      <c r="D97" s="29">
        <v>1897</v>
      </c>
      <c r="E97" s="28" t="s">
        <v>90</v>
      </c>
      <c r="F97" s="28" t="s">
        <v>90</v>
      </c>
      <c r="G97" s="28" t="s">
        <v>28</v>
      </c>
      <c r="H97" s="30">
        <v>45139</v>
      </c>
      <c r="I97" s="28" t="s">
        <v>60</v>
      </c>
      <c r="J97" s="28" t="s">
        <v>175</v>
      </c>
      <c r="K97" s="103" t="s">
        <v>410</v>
      </c>
      <c r="L97" s="36">
        <v>-5119694</v>
      </c>
      <c r="N97" s="25" t="s">
        <v>48</v>
      </c>
      <c r="O97" s="33" t="s">
        <v>238</v>
      </c>
    </row>
    <row r="98" spans="1:15" ht="38.25" x14ac:dyDescent="0.2">
      <c r="A98" s="25">
        <v>96</v>
      </c>
      <c r="B98" s="26">
        <v>147</v>
      </c>
      <c r="C98" s="28" t="s">
        <v>98</v>
      </c>
      <c r="D98" s="29">
        <v>3007</v>
      </c>
      <c r="E98" s="28" t="s">
        <v>90</v>
      </c>
      <c r="F98" s="28" t="s">
        <v>90</v>
      </c>
      <c r="G98" s="28" t="s">
        <v>28</v>
      </c>
      <c r="H98" s="30">
        <v>45133</v>
      </c>
      <c r="I98" s="28" t="s">
        <v>60</v>
      </c>
      <c r="J98" s="28" t="s">
        <v>176</v>
      </c>
      <c r="K98" s="103" t="s">
        <v>411</v>
      </c>
      <c r="L98" s="36">
        <v>-5121971</v>
      </c>
      <c r="N98" s="25" t="s">
        <v>48</v>
      </c>
      <c r="O98" s="33" t="s">
        <v>238</v>
      </c>
    </row>
    <row r="99" spans="1:15" ht="30" customHeight="1" x14ac:dyDescent="0.2">
      <c r="A99" s="25">
        <v>97</v>
      </c>
      <c r="B99" s="26">
        <v>151</v>
      </c>
      <c r="C99" s="28" t="s">
        <v>98</v>
      </c>
      <c r="D99" s="29">
        <v>3026</v>
      </c>
      <c r="E99" s="28" t="s">
        <v>239</v>
      </c>
      <c r="F99" s="28" t="s">
        <v>239</v>
      </c>
      <c r="G99" s="28" t="s">
        <v>28</v>
      </c>
      <c r="H99" s="30">
        <v>45135</v>
      </c>
      <c r="I99" s="28" t="s">
        <v>60</v>
      </c>
      <c r="J99" s="28" t="s">
        <v>177</v>
      </c>
      <c r="K99" s="103" t="s">
        <v>412</v>
      </c>
      <c r="L99" s="36">
        <v>-5118905</v>
      </c>
      <c r="N99" s="25" t="s">
        <v>48</v>
      </c>
      <c r="O99" s="25"/>
    </row>
    <row r="100" spans="1:15" ht="38.25" x14ac:dyDescent="0.2">
      <c r="A100" s="25">
        <v>98</v>
      </c>
      <c r="B100" s="26">
        <v>143</v>
      </c>
      <c r="C100" s="28" t="s">
        <v>98</v>
      </c>
      <c r="D100" s="29">
        <v>4032</v>
      </c>
      <c r="E100" s="28" t="s">
        <v>90</v>
      </c>
      <c r="F100" s="28" t="s">
        <v>90</v>
      </c>
      <c r="G100" s="28" t="s">
        <v>28</v>
      </c>
      <c r="H100" s="30">
        <v>44953</v>
      </c>
      <c r="I100" s="28" t="s">
        <v>60</v>
      </c>
      <c r="J100" s="28" t="s">
        <v>178</v>
      </c>
      <c r="K100" s="103" t="s">
        <v>413</v>
      </c>
      <c r="L100" s="36">
        <v>-5120799</v>
      </c>
      <c r="N100" s="25" t="s">
        <v>48</v>
      </c>
      <c r="O100" s="25"/>
    </row>
    <row r="101" spans="1:15" ht="38.25" x14ac:dyDescent="0.2">
      <c r="A101" s="25">
        <v>99</v>
      </c>
      <c r="B101" s="26">
        <v>129</v>
      </c>
      <c r="C101" s="28" t="s">
        <v>98</v>
      </c>
      <c r="D101" s="29">
        <v>2234</v>
      </c>
      <c r="E101" s="28" t="s">
        <v>137</v>
      </c>
      <c r="F101" s="28" t="s">
        <v>137</v>
      </c>
      <c r="G101" s="28" t="s">
        <v>28</v>
      </c>
      <c r="H101" s="30">
        <v>44889</v>
      </c>
      <c r="I101" s="28" t="s">
        <v>60</v>
      </c>
      <c r="J101" s="28" t="s">
        <v>179</v>
      </c>
      <c r="K101" s="103" t="s">
        <v>414</v>
      </c>
      <c r="L101" s="36">
        <v>-5125461</v>
      </c>
      <c r="N101" s="25" t="s">
        <v>48</v>
      </c>
      <c r="O101" s="33" t="s">
        <v>238</v>
      </c>
    </row>
    <row r="102" spans="1:15" ht="38.25" x14ac:dyDescent="0.2">
      <c r="A102" s="25">
        <v>100</v>
      </c>
      <c r="B102" s="26">
        <v>52</v>
      </c>
      <c r="C102" s="28" t="s">
        <v>98</v>
      </c>
      <c r="D102" s="29">
        <v>1899</v>
      </c>
      <c r="E102" s="28" t="s">
        <v>89</v>
      </c>
      <c r="F102" s="28" t="s">
        <v>89</v>
      </c>
      <c r="G102" s="28" t="s">
        <v>28</v>
      </c>
      <c r="H102" s="30">
        <v>45139</v>
      </c>
      <c r="I102" s="28" t="s">
        <v>60</v>
      </c>
      <c r="J102" s="28" t="s">
        <v>180</v>
      </c>
      <c r="K102" s="103" t="s">
        <v>415</v>
      </c>
      <c r="L102" s="36">
        <v>-5115946</v>
      </c>
      <c r="N102" s="25" t="s">
        <v>48</v>
      </c>
      <c r="O102" s="25"/>
    </row>
    <row r="103" spans="1:15" ht="38.25" x14ac:dyDescent="0.2">
      <c r="A103" s="25">
        <v>101</v>
      </c>
      <c r="B103" s="26">
        <v>125</v>
      </c>
      <c r="C103" s="28" t="s">
        <v>98</v>
      </c>
      <c r="D103" s="31">
        <v>980</v>
      </c>
      <c r="E103" s="28" t="s">
        <v>88</v>
      </c>
      <c r="F103" s="28" t="s">
        <v>88</v>
      </c>
      <c r="G103" s="28" t="s">
        <v>28</v>
      </c>
      <c r="H103" s="30">
        <v>45140</v>
      </c>
      <c r="I103" s="28" t="s">
        <v>60</v>
      </c>
      <c r="J103" s="28" t="s">
        <v>181</v>
      </c>
      <c r="K103" s="103" t="s">
        <v>416</v>
      </c>
      <c r="L103" s="36">
        <v>-5133726</v>
      </c>
      <c r="N103" s="25" t="s">
        <v>48</v>
      </c>
      <c r="O103" s="25"/>
    </row>
    <row r="104" spans="1:15" ht="38.25" x14ac:dyDescent="0.2">
      <c r="A104" s="25">
        <v>102</v>
      </c>
      <c r="B104" s="26">
        <v>122</v>
      </c>
      <c r="C104" s="28" t="s">
        <v>98</v>
      </c>
      <c r="D104" s="29">
        <v>2049</v>
      </c>
      <c r="E104" s="28" t="s">
        <v>88</v>
      </c>
      <c r="F104" s="28" t="s">
        <v>88</v>
      </c>
      <c r="G104" s="28" t="s">
        <v>28</v>
      </c>
      <c r="H104" s="30">
        <v>45139</v>
      </c>
      <c r="I104" s="28" t="s">
        <v>60</v>
      </c>
      <c r="J104" s="28" t="s">
        <v>182</v>
      </c>
      <c r="K104" s="103" t="s">
        <v>417</v>
      </c>
      <c r="L104" s="36">
        <v>-5138296</v>
      </c>
      <c r="N104" s="25" t="s">
        <v>48</v>
      </c>
      <c r="O104" s="25"/>
    </row>
    <row r="105" spans="1:15" ht="38.25" x14ac:dyDescent="0.2">
      <c r="A105" s="25">
        <v>103</v>
      </c>
      <c r="B105" s="26">
        <v>156</v>
      </c>
      <c r="C105" s="28" t="s">
        <v>98</v>
      </c>
      <c r="D105" s="31">
        <v>382</v>
      </c>
      <c r="E105" s="28" t="s">
        <v>90</v>
      </c>
      <c r="F105" s="28" t="s">
        <v>90</v>
      </c>
      <c r="G105" s="28" t="s">
        <v>28</v>
      </c>
      <c r="H105" s="30">
        <v>45141</v>
      </c>
      <c r="I105" s="28" t="s">
        <v>60</v>
      </c>
      <c r="J105" s="28" t="s">
        <v>183</v>
      </c>
      <c r="K105" s="103" t="s">
        <v>418</v>
      </c>
      <c r="L105" s="36">
        <v>-5120191</v>
      </c>
      <c r="N105" s="25" t="s">
        <v>48</v>
      </c>
      <c r="O105" s="25"/>
    </row>
    <row r="106" spans="1:15" ht="38.25" x14ac:dyDescent="0.2">
      <c r="A106" s="25">
        <v>104</v>
      </c>
      <c r="B106" s="26">
        <v>121</v>
      </c>
      <c r="C106" s="28" t="s">
        <v>98</v>
      </c>
      <c r="D106" s="31">
        <v>249</v>
      </c>
      <c r="E106" s="28" t="s">
        <v>88</v>
      </c>
      <c r="F106" s="28" t="s">
        <v>88</v>
      </c>
      <c r="G106" s="28" t="s">
        <v>28</v>
      </c>
      <c r="H106" s="30">
        <v>45133</v>
      </c>
      <c r="I106" s="28" t="s">
        <v>60</v>
      </c>
      <c r="J106" s="28" t="s">
        <v>184</v>
      </c>
      <c r="K106" s="103" t="s">
        <v>420</v>
      </c>
      <c r="L106" s="36">
        <v>-5137109</v>
      </c>
      <c r="N106" s="25" t="s">
        <v>48</v>
      </c>
      <c r="O106" s="25"/>
    </row>
    <row r="107" spans="1:15" ht="38.25" x14ac:dyDescent="0.2">
      <c r="A107" s="25">
        <v>105</v>
      </c>
      <c r="B107" s="26">
        <v>126</v>
      </c>
      <c r="C107" s="28" t="s">
        <v>98</v>
      </c>
      <c r="D107" s="31">
        <v>242</v>
      </c>
      <c r="E107" s="28" t="s">
        <v>88</v>
      </c>
      <c r="F107" s="28" t="s">
        <v>88</v>
      </c>
      <c r="G107" s="28" t="s">
        <v>28</v>
      </c>
      <c r="H107" s="30">
        <v>45140</v>
      </c>
      <c r="I107" s="28" t="s">
        <v>60</v>
      </c>
      <c r="J107" s="28" t="s">
        <v>185</v>
      </c>
      <c r="K107" s="103" t="s">
        <v>421</v>
      </c>
      <c r="L107" s="36">
        <v>-5132679</v>
      </c>
      <c r="N107" s="25" t="s">
        <v>48</v>
      </c>
      <c r="O107" s="25"/>
    </row>
    <row r="108" spans="1:15" ht="38.25" x14ac:dyDescent="0.2">
      <c r="A108" s="25">
        <v>106</v>
      </c>
      <c r="B108" s="35" t="s">
        <v>240</v>
      </c>
      <c r="C108" s="28" t="s">
        <v>98</v>
      </c>
      <c r="D108" s="29">
        <v>2722</v>
      </c>
      <c r="E108" s="28" t="s">
        <v>88</v>
      </c>
      <c r="F108" s="28" t="s">
        <v>88</v>
      </c>
      <c r="G108" s="28" t="s">
        <v>28</v>
      </c>
      <c r="H108" s="30">
        <v>44911</v>
      </c>
      <c r="I108" s="28" t="s">
        <v>60</v>
      </c>
      <c r="J108" s="28" t="s">
        <v>186</v>
      </c>
      <c r="K108" s="103" t="s">
        <v>422</v>
      </c>
      <c r="L108" s="36">
        <v>-5132553</v>
      </c>
      <c r="N108" s="25" t="s">
        <v>48</v>
      </c>
      <c r="O108" s="33" t="s">
        <v>241</v>
      </c>
    </row>
    <row r="109" spans="1:15" ht="38.25" x14ac:dyDescent="0.2">
      <c r="A109" s="25">
        <v>107</v>
      </c>
      <c r="B109" s="26">
        <v>159</v>
      </c>
      <c r="C109" s="28" t="s">
        <v>98</v>
      </c>
      <c r="D109" s="29">
        <v>1259</v>
      </c>
      <c r="E109" s="34" t="s">
        <v>90</v>
      </c>
      <c r="F109" s="28" t="s">
        <v>89</v>
      </c>
      <c r="G109" s="28" t="s">
        <v>28</v>
      </c>
      <c r="H109" s="30">
        <v>45152</v>
      </c>
      <c r="I109" s="28" t="s">
        <v>60</v>
      </c>
      <c r="J109" s="28" t="s">
        <v>187</v>
      </c>
      <c r="K109" s="103" t="s">
        <v>423</v>
      </c>
      <c r="L109" s="36">
        <v>-5115545</v>
      </c>
      <c r="N109" s="25" t="s">
        <v>48</v>
      </c>
      <c r="O109" s="25"/>
    </row>
    <row r="110" spans="1:15" ht="38.25" x14ac:dyDescent="0.2">
      <c r="A110" s="25">
        <v>108</v>
      </c>
      <c r="B110" s="26">
        <v>55</v>
      </c>
      <c r="C110" s="28" t="s">
        <v>98</v>
      </c>
      <c r="D110" s="31">
        <v>710</v>
      </c>
      <c r="E110" s="28" t="s">
        <v>89</v>
      </c>
      <c r="F110" s="28" t="s">
        <v>89</v>
      </c>
      <c r="G110" s="28" t="s">
        <v>28</v>
      </c>
      <c r="H110" s="30">
        <v>45139</v>
      </c>
      <c r="I110" s="28" t="s">
        <v>60</v>
      </c>
      <c r="J110" s="28" t="s">
        <v>188</v>
      </c>
      <c r="K110" s="103" t="s">
        <v>424</v>
      </c>
      <c r="L110" s="36">
        <v>-5117056</v>
      </c>
      <c r="N110" s="25" t="s">
        <v>48</v>
      </c>
      <c r="O110" s="25"/>
    </row>
    <row r="111" spans="1:15" ht="38.25" x14ac:dyDescent="0.2">
      <c r="A111" s="25">
        <v>109</v>
      </c>
      <c r="B111" s="26">
        <v>95</v>
      </c>
      <c r="C111" s="28" t="s">
        <v>98</v>
      </c>
      <c r="D111" s="31">
        <v>885</v>
      </c>
      <c r="E111" s="28" t="s">
        <v>88</v>
      </c>
      <c r="F111" s="28" t="s">
        <v>88</v>
      </c>
      <c r="G111" s="28" t="s">
        <v>28</v>
      </c>
      <c r="H111" s="30">
        <v>44222</v>
      </c>
      <c r="I111" s="28" t="s">
        <v>60</v>
      </c>
      <c r="J111" s="28" t="s">
        <v>189</v>
      </c>
      <c r="K111" s="103" t="s">
        <v>425</v>
      </c>
      <c r="L111" s="36">
        <v>-5123303</v>
      </c>
      <c r="N111" s="25" t="s">
        <v>48</v>
      </c>
      <c r="O111" s="25"/>
    </row>
    <row r="112" spans="1:15" ht="38.25" x14ac:dyDescent="0.2">
      <c r="A112" s="25">
        <v>110</v>
      </c>
      <c r="B112" s="26">
        <v>43</v>
      </c>
      <c r="C112" s="28" t="s">
        <v>98</v>
      </c>
      <c r="D112" s="29">
        <v>1376</v>
      </c>
      <c r="E112" s="28" t="s">
        <v>88</v>
      </c>
      <c r="F112" s="28" t="s">
        <v>89</v>
      </c>
      <c r="G112" s="28" t="s">
        <v>28</v>
      </c>
      <c r="H112" s="30">
        <v>44222</v>
      </c>
      <c r="I112" s="28" t="s">
        <v>60</v>
      </c>
      <c r="J112" s="28" t="s">
        <v>189</v>
      </c>
      <c r="K112" s="103" t="s">
        <v>426</v>
      </c>
      <c r="L112" s="36">
        <v>-5123664</v>
      </c>
      <c r="N112" s="25" t="s">
        <v>48</v>
      </c>
      <c r="O112" s="25"/>
    </row>
    <row r="113" spans="1:15" ht="38.25" x14ac:dyDescent="0.2">
      <c r="A113" s="25">
        <v>111</v>
      </c>
      <c r="B113" s="26">
        <v>68</v>
      </c>
      <c r="C113" s="28" t="s">
        <v>98</v>
      </c>
      <c r="D113" s="29">
        <v>2463</v>
      </c>
      <c r="E113" s="28" t="s">
        <v>89</v>
      </c>
      <c r="F113" s="28" t="s">
        <v>89</v>
      </c>
      <c r="G113" s="28" t="s">
        <v>28</v>
      </c>
      <c r="H113" s="30">
        <v>45152</v>
      </c>
      <c r="I113" s="28" t="s">
        <v>60</v>
      </c>
      <c r="J113" s="28" t="s">
        <v>190</v>
      </c>
      <c r="K113" s="103" t="s">
        <v>427</v>
      </c>
      <c r="L113" s="36">
        <v>-5114817</v>
      </c>
      <c r="N113" s="25" t="s">
        <v>48</v>
      </c>
      <c r="O113" s="25"/>
    </row>
    <row r="114" spans="1:15" ht="38.25" x14ac:dyDescent="0.2">
      <c r="A114" s="25">
        <v>112</v>
      </c>
      <c r="B114" s="26">
        <v>50</v>
      </c>
      <c r="C114" s="28" t="s">
        <v>98</v>
      </c>
      <c r="D114" s="29">
        <v>2793</v>
      </c>
      <c r="E114" s="28" t="s">
        <v>89</v>
      </c>
      <c r="F114" s="28" t="s">
        <v>89</v>
      </c>
      <c r="G114" s="28" t="s">
        <v>28</v>
      </c>
      <c r="H114" s="30">
        <v>45139</v>
      </c>
      <c r="I114" s="28" t="s">
        <v>60</v>
      </c>
      <c r="J114" s="28" t="s">
        <v>191</v>
      </c>
      <c r="K114" s="103" t="s">
        <v>428</v>
      </c>
      <c r="L114" s="36">
        <v>-5113925</v>
      </c>
      <c r="N114" s="25" t="s">
        <v>48</v>
      </c>
      <c r="O114" s="25"/>
    </row>
    <row r="115" spans="1:15" ht="38.25" x14ac:dyDescent="0.2">
      <c r="A115" s="25">
        <v>113</v>
      </c>
      <c r="B115" s="26">
        <v>51</v>
      </c>
      <c r="C115" s="28" t="s">
        <v>98</v>
      </c>
      <c r="D115" s="29">
        <v>3281</v>
      </c>
      <c r="E115" s="28" t="s">
        <v>89</v>
      </c>
      <c r="F115" s="28" t="s">
        <v>89</v>
      </c>
      <c r="G115" s="28" t="s">
        <v>28</v>
      </c>
      <c r="H115" s="30">
        <v>45139</v>
      </c>
      <c r="I115" s="28" t="s">
        <v>60</v>
      </c>
      <c r="J115" s="28" t="s">
        <v>192</v>
      </c>
      <c r="K115" s="103" t="s">
        <v>429</v>
      </c>
      <c r="L115" s="36">
        <v>-5112247</v>
      </c>
      <c r="N115" s="25" t="s">
        <v>48</v>
      </c>
      <c r="O115" s="25"/>
    </row>
    <row r="116" spans="1:15" ht="51" x14ac:dyDescent="0.2">
      <c r="A116" s="25">
        <v>114</v>
      </c>
      <c r="B116" s="26">
        <v>66</v>
      </c>
      <c r="C116" s="28" t="s">
        <v>98</v>
      </c>
      <c r="D116" s="31">
        <v>805</v>
      </c>
      <c r="E116" s="28" t="s">
        <v>89</v>
      </c>
      <c r="F116" s="28" t="s">
        <v>89</v>
      </c>
      <c r="G116" s="28" t="s">
        <v>28</v>
      </c>
      <c r="H116" s="30">
        <v>45146</v>
      </c>
      <c r="I116" s="28" t="s">
        <v>60</v>
      </c>
      <c r="J116" s="28" t="s">
        <v>193</v>
      </c>
      <c r="K116" s="103" t="s">
        <v>430</v>
      </c>
      <c r="L116" s="36">
        <v>-5116313</v>
      </c>
      <c r="N116" s="25" t="s">
        <v>48</v>
      </c>
      <c r="O116" s="33" t="s">
        <v>242</v>
      </c>
    </row>
    <row r="117" spans="1:15" ht="51" x14ac:dyDescent="0.2">
      <c r="A117" s="25">
        <v>115</v>
      </c>
      <c r="B117" s="26">
        <v>49</v>
      </c>
      <c r="C117" s="28" t="s">
        <v>98</v>
      </c>
      <c r="D117" s="31">
        <v>781</v>
      </c>
      <c r="E117" s="28" t="s">
        <v>89</v>
      </c>
      <c r="F117" s="28" t="s">
        <v>89</v>
      </c>
      <c r="G117" s="28" t="s">
        <v>28</v>
      </c>
      <c r="H117" s="30">
        <v>45139</v>
      </c>
      <c r="I117" s="28" t="s">
        <v>60</v>
      </c>
      <c r="J117" s="28" t="s">
        <v>194</v>
      </c>
      <c r="K117" s="103" t="s">
        <v>431</v>
      </c>
      <c r="L117" s="36">
        <v>-5115626</v>
      </c>
      <c r="N117" s="25" t="s">
        <v>48</v>
      </c>
      <c r="O117" s="33" t="s">
        <v>242</v>
      </c>
    </row>
    <row r="118" spans="1:15" ht="51" x14ac:dyDescent="0.2">
      <c r="A118" s="25">
        <v>116</v>
      </c>
      <c r="B118" s="26">
        <v>56</v>
      </c>
      <c r="C118" s="28" t="s">
        <v>98</v>
      </c>
      <c r="D118" s="31">
        <v>986</v>
      </c>
      <c r="E118" s="28" t="s">
        <v>89</v>
      </c>
      <c r="F118" s="28" t="s">
        <v>89</v>
      </c>
      <c r="G118" s="28" t="s">
        <v>28</v>
      </c>
      <c r="H118" s="30">
        <v>45139</v>
      </c>
      <c r="I118" s="28" t="s">
        <v>60</v>
      </c>
      <c r="J118" s="28" t="s">
        <v>195</v>
      </c>
      <c r="K118" s="103" t="s">
        <v>432</v>
      </c>
      <c r="L118" s="36">
        <v>-5115023</v>
      </c>
      <c r="N118" s="25" t="s">
        <v>48</v>
      </c>
      <c r="O118" s="33" t="s">
        <v>242</v>
      </c>
    </row>
    <row r="119" spans="1:15" ht="51" x14ac:dyDescent="0.2">
      <c r="A119" s="25">
        <v>117</v>
      </c>
      <c r="B119" s="26">
        <v>58</v>
      </c>
      <c r="C119" s="28" t="s">
        <v>98</v>
      </c>
      <c r="D119" s="29">
        <v>1412</v>
      </c>
      <c r="E119" s="28" t="s">
        <v>89</v>
      </c>
      <c r="F119" s="28" t="s">
        <v>89</v>
      </c>
      <c r="G119" s="28" t="s">
        <v>28</v>
      </c>
      <c r="H119" s="30">
        <v>45140</v>
      </c>
      <c r="I119" s="28" t="s">
        <v>60</v>
      </c>
      <c r="J119" s="28" t="s">
        <v>196</v>
      </c>
      <c r="K119" s="103" t="s">
        <v>433</v>
      </c>
      <c r="L119" s="36">
        <v>-5114067</v>
      </c>
      <c r="N119" s="25" t="s">
        <v>48</v>
      </c>
      <c r="O119" s="33" t="s">
        <v>242</v>
      </c>
    </row>
    <row r="120" spans="1:15" ht="38.25" x14ac:dyDescent="0.2">
      <c r="A120" s="25">
        <v>118</v>
      </c>
      <c r="B120" s="26">
        <v>20</v>
      </c>
      <c r="C120" s="28" t="s">
        <v>98</v>
      </c>
      <c r="D120" s="31">
        <v>694</v>
      </c>
      <c r="E120" s="28" t="s">
        <v>197</v>
      </c>
      <c r="F120" s="34" t="s">
        <v>243</v>
      </c>
      <c r="G120" s="28" t="s">
        <v>28</v>
      </c>
      <c r="H120" s="30">
        <v>44222</v>
      </c>
      <c r="I120" s="28" t="s">
        <v>60</v>
      </c>
      <c r="J120" s="28" t="s">
        <v>198</v>
      </c>
      <c r="K120" s="103" t="s">
        <v>434</v>
      </c>
      <c r="L120" s="36">
        <v>-5251673</v>
      </c>
      <c r="N120" s="25" t="s">
        <v>48</v>
      </c>
      <c r="O120" s="25"/>
    </row>
    <row r="121" spans="1:15" ht="38.25" x14ac:dyDescent="0.2">
      <c r="A121" s="25">
        <v>119</v>
      </c>
      <c r="B121" s="26">
        <v>60</v>
      </c>
      <c r="C121" s="28" t="s">
        <v>98</v>
      </c>
      <c r="D121" s="31">
        <v>317</v>
      </c>
      <c r="E121" s="28" t="s">
        <v>89</v>
      </c>
      <c r="F121" s="28" t="s">
        <v>89</v>
      </c>
      <c r="G121" s="28" t="s">
        <v>28</v>
      </c>
      <c r="H121" s="30">
        <v>45140</v>
      </c>
      <c r="I121" s="28" t="s">
        <v>60</v>
      </c>
      <c r="J121" s="28" t="s">
        <v>199</v>
      </c>
      <c r="K121" s="103" t="s">
        <v>435</v>
      </c>
      <c r="L121" s="36">
        <v>-5118242</v>
      </c>
      <c r="N121" s="25" t="s">
        <v>48</v>
      </c>
      <c r="O121" s="25"/>
    </row>
    <row r="122" spans="1:15" ht="38.25" x14ac:dyDescent="0.2">
      <c r="A122" s="25">
        <v>120</v>
      </c>
      <c r="B122" s="26">
        <v>62</v>
      </c>
      <c r="C122" s="28" t="s">
        <v>98</v>
      </c>
      <c r="D122" s="29">
        <v>1249</v>
      </c>
      <c r="E122" s="28" t="s">
        <v>89</v>
      </c>
      <c r="F122" s="28" t="s">
        <v>89</v>
      </c>
      <c r="G122" s="28" t="s">
        <v>28</v>
      </c>
      <c r="H122" s="30">
        <v>45140</v>
      </c>
      <c r="I122" s="28" t="s">
        <v>60</v>
      </c>
      <c r="J122" s="28" t="s">
        <v>200</v>
      </c>
      <c r="K122" s="103" t="s">
        <v>436</v>
      </c>
      <c r="L122" s="36">
        <v>-5117922</v>
      </c>
      <c r="N122" s="25" t="s">
        <v>48</v>
      </c>
      <c r="O122" s="25"/>
    </row>
    <row r="123" spans="1:15" ht="38.25" x14ac:dyDescent="0.2">
      <c r="A123" s="25">
        <v>121</v>
      </c>
      <c r="B123" s="26">
        <v>61</v>
      </c>
      <c r="C123" s="28" t="s">
        <v>98</v>
      </c>
      <c r="D123" s="31">
        <v>36</v>
      </c>
      <c r="E123" s="28" t="s">
        <v>89</v>
      </c>
      <c r="F123" s="28" t="s">
        <v>89</v>
      </c>
      <c r="G123" s="28" t="s">
        <v>28</v>
      </c>
      <c r="H123" s="30">
        <v>45140</v>
      </c>
      <c r="I123" s="28" t="s">
        <v>60</v>
      </c>
      <c r="J123" s="28" t="s">
        <v>201</v>
      </c>
      <c r="K123" s="103" t="s">
        <v>437</v>
      </c>
      <c r="L123" s="36">
        <v>-5118574</v>
      </c>
      <c r="N123" s="25" t="s">
        <v>48</v>
      </c>
      <c r="O123" s="25"/>
    </row>
    <row r="124" spans="1:15" ht="25.5" x14ac:dyDescent="0.2">
      <c r="A124" s="25">
        <v>122</v>
      </c>
      <c r="B124" s="26">
        <v>21</v>
      </c>
      <c r="C124" s="28" t="s">
        <v>202</v>
      </c>
      <c r="D124" s="29">
        <v>5360</v>
      </c>
      <c r="E124" s="28" t="s">
        <v>203</v>
      </c>
      <c r="F124" s="28" t="s">
        <v>203</v>
      </c>
      <c r="G124" s="28" t="s">
        <v>31</v>
      </c>
      <c r="H124" s="30">
        <v>44222</v>
      </c>
      <c r="I124" s="28" t="s">
        <v>60</v>
      </c>
      <c r="J124" s="28" t="s">
        <v>204</v>
      </c>
      <c r="K124" s="103" t="s">
        <v>438</v>
      </c>
      <c r="L124" s="36">
        <v>-5272543</v>
      </c>
      <c r="N124" s="25" t="s">
        <v>48</v>
      </c>
      <c r="O124" s="25"/>
    </row>
    <row r="125" spans="1:15" ht="25.5" x14ac:dyDescent="0.2">
      <c r="A125" s="25">
        <v>123</v>
      </c>
      <c r="B125" s="26">
        <v>7</v>
      </c>
      <c r="C125" s="28" t="s">
        <v>202</v>
      </c>
      <c r="D125" s="31">
        <v>895</v>
      </c>
      <c r="E125" s="28" t="s">
        <v>205</v>
      </c>
      <c r="F125" s="28" t="s">
        <v>205</v>
      </c>
      <c r="G125" s="28" t="s">
        <v>31</v>
      </c>
      <c r="H125" s="30">
        <v>44259</v>
      </c>
      <c r="I125" s="28" t="s">
        <v>60</v>
      </c>
      <c r="J125" s="28" t="s">
        <v>204</v>
      </c>
      <c r="K125" s="103" t="s">
        <v>439</v>
      </c>
      <c r="L125" s="36">
        <v>-5271567</v>
      </c>
      <c r="N125" s="25" t="s">
        <v>48</v>
      </c>
      <c r="O125" s="25"/>
    </row>
    <row r="126" spans="1:15" ht="25.5" x14ac:dyDescent="0.2">
      <c r="A126" s="25">
        <v>124</v>
      </c>
      <c r="B126" s="26">
        <v>4</v>
      </c>
      <c r="C126" s="28" t="s">
        <v>202</v>
      </c>
      <c r="D126" s="29">
        <v>2873</v>
      </c>
      <c r="E126" s="28" t="s">
        <v>206</v>
      </c>
      <c r="F126" s="28" t="s">
        <v>206</v>
      </c>
      <c r="G126" s="28" t="s">
        <v>31</v>
      </c>
      <c r="H126" s="30">
        <v>44222</v>
      </c>
      <c r="I126" s="28" t="s">
        <v>60</v>
      </c>
      <c r="J126" s="28" t="s">
        <v>207</v>
      </c>
      <c r="K126" s="103" t="s">
        <v>440</v>
      </c>
      <c r="L126" s="36">
        <v>-5254527</v>
      </c>
      <c r="N126" s="25" t="s">
        <v>48</v>
      </c>
      <c r="O126" s="25"/>
    </row>
    <row r="127" spans="1:15" ht="51" x14ac:dyDescent="0.2">
      <c r="A127" s="25">
        <v>125</v>
      </c>
      <c r="B127" s="26">
        <v>9</v>
      </c>
      <c r="C127" s="28" t="s">
        <v>208</v>
      </c>
      <c r="D127" s="29">
        <v>46600</v>
      </c>
      <c r="E127" s="28" t="s">
        <v>209</v>
      </c>
      <c r="F127" s="28" t="s">
        <v>209</v>
      </c>
      <c r="G127" s="28" t="s">
        <v>25</v>
      </c>
      <c r="H127" s="30">
        <v>44889</v>
      </c>
      <c r="I127" s="28" t="s">
        <v>60</v>
      </c>
      <c r="J127" s="28" t="s">
        <v>210</v>
      </c>
      <c r="K127" s="103" t="s">
        <v>441</v>
      </c>
      <c r="L127" s="36">
        <v>-5246529</v>
      </c>
      <c r="N127" s="25" t="s">
        <v>48</v>
      </c>
      <c r="O127" s="36">
        <v>49600</v>
      </c>
    </row>
    <row r="128" spans="1:15" ht="38.25" x14ac:dyDescent="0.2">
      <c r="A128" s="25">
        <v>126</v>
      </c>
      <c r="B128" s="26">
        <v>100</v>
      </c>
      <c r="C128" s="28" t="s">
        <v>208</v>
      </c>
      <c r="D128" s="29">
        <v>2737</v>
      </c>
      <c r="E128" s="28" t="s">
        <v>211</v>
      </c>
      <c r="F128" s="28" t="s">
        <v>211</v>
      </c>
      <c r="G128" s="28" t="s">
        <v>28</v>
      </c>
      <c r="H128" s="30">
        <v>44399</v>
      </c>
      <c r="I128" s="28" t="s">
        <v>60</v>
      </c>
      <c r="J128" s="28" t="s">
        <v>212</v>
      </c>
      <c r="K128" s="103" t="s">
        <v>442</v>
      </c>
      <c r="L128" s="36">
        <v>-5125368</v>
      </c>
      <c r="N128" s="25" t="s">
        <v>48</v>
      </c>
      <c r="O128" s="25"/>
    </row>
    <row r="129" spans="1:15" ht="25.5" x14ac:dyDescent="0.2">
      <c r="A129" s="25">
        <v>127</v>
      </c>
      <c r="B129" s="27">
        <v>99</v>
      </c>
      <c r="C129" s="28" t="s">
        <v>213</v>
      </c>
      <c r="D129" s="29">
        <v>1805</v>
      </c>
      <c r="E129" s="28" t="s">
        <v>214</v>
      </c>
      <c r="F129" s="28" t="s">
        <v>214</v>
      </c>
      <c r="G129" s="28" t="s">
        <v>28</v>
      </c>
      <c r="H129" s="30">
        <v>44399</v>
      </c>
      <c r="I129" s="28" t="s">
        <v>60</v>
      </c>
      <c r="J129" s="28" t="s">
        <v>215</v>
      </c>
      <c r="K129" s="103" t="s">
        <v>443</v>
      </c>
      <c r="L129" s="36">
        <v>-5126210</v>
      </c>
      <c r="N129" s="25" t="s">
        <v>48</v>
      </c>
      <c r="O129" s="25"/>
    </row>
    <row r="130" spans="1:15" ht="38.25" x14ac:dyDescent="0.2">
      <c r="A130" s="25">
        <v>128</v>
      </c>
      <c r="B130" s="26">
        <v>101</v>
      </c>
      <c r="C130" s="28" t="s">
        <v>216</v>
      </c>
      <c r="D130" s="31">
        <v>540</v>
      </c>
      <c r="E130" s="28" t="s">
        <v>217</v>
      </c>
      <c r="F130" s="28" t="s">
        <v>217</v>
      </c>
      <c r="G130" s="28" t="s">
        <v>28</v>
      </c>
      <c r="H130" s="30">
        <v>44677</v>
      </c>
      <c r="I130" s="28" t="s">
        <v>60</v>
      </c>
      <c r="J130" s="28" t="s">
        <v>218</v>
      </c>
      <c r="K130" s="103" t="s">
        <v>444</v>
      </c>
      <c r="L130" s="36">
        <v>-5126628</v>
      </c>
      <c r="N130" s="25" t="s">
        <v>48</v>
      </c>
      <c r="O130" s="25"/>
    </row>
    <row r="131" spans="1:15" ht="25.5" x14ac:dyDescent="0.2">
      <c r="A131" s="25">
        <v>129</v>
      </c>
      <c r="B131" s="26" t="s">
        <v>307</v>
      </c>
      <c r="C131" s="28" t="s">
        <v>219</v>
      </c>
      <c r="D131" s="29">
        <v>4981</v>
      </c>
      <c r="E131" s="28" t="s">
        <v>310</v>
      </c>
      <c r="F131" s="28" t="s">
        <v>220</v>
      </c>
      <c r="G131" s="28" t="s">
        <v>29</v>
      </c>
      <c r="H131" s="30">
        <v>44491</v>
      </c>
      <c r="I131" s="28" t="s">
        <v>60</v>
      </c>
      <c r="J131" s="28" t="s">
        <v>221</v>
      </c>
      <c r="K131" s="103" t="s">
        <v>445</v>
      </c>
      <c r="L131" s="36">
        <v>-5105290</v>
      </c>
      <c r="N131" s="25" t="s">
        <v>48</v>
      </c>
      <c r="O131" s="25"/>
    </row>
    <row r="132" spans="1:15" ht="38.25" x14ac:dyDescent="0.2">
      <c r="A132" s="25">
        <v>130</v>
      </c>
      <c r="B132" s="26">
        <v>22</v>
      </c>
      <c r="C132" s="28" t="s">
        <v>222</v>
      </c>
      <c r="D132" s="31">
        <v>594</v>
      </c>
      <c r="E132" s="28" t="s">
        <v>223</v>
      </c>
      <c r="F132" s="28" t="s">
        <v>223</v>
      </c>
      <c r="G132" s="28" t="s">
        <v>30</v>
      </c>
      <c r="H132" s="30">
        <v>44259</v>
      </c>
      <c r="I132" s="28" t="s">
        <v>60</v>
      </c>
      <c r="J132" s="28" t="s">
        <v>224</v>
      </c>
      <c r="K132" s="103" t="s">
        <v>446</v>
      </c>
      <c r="L132" s="36">
        <v>-5326840</v>
      </c>
      <c r="N132" s="25" t="s">
        <v>48</v>
      </c>
      <c r="O132" s="25"/>
    </row>
    <row r="133" spans="1:15" ht="63.75" x14ac:dyDescent="0.2">
      <c r="A133" s="25">
        <v>131</v>
      </c>
      <c r="B133" s="26">
        <v>15</v>
      </c>
      <c r="C133" s="28" t="s">
        <v>225</v>
      </c>
      <c r="D133" s="29">
        <v>5749</v>
      </c>
      <c r="E133" s="28" t="s">
        <v>226</v>
      </c>
      <c r="F133" s="28" t="s">
        <v>226</v>
      </c>
      <c r="G133" s="28" t="s">
        <v>25</v>
      </c>
      <c r="H133" s="30">
        <v>44560</v>
      </c>
      <c r="I133" s="28" t="s">
        <v>60</v>
      </c>
      <c r="J133" s="28" t="s">
        <v>227</v>
      </c>
      <c r="K133" s="103" t="s">
        <v>447</v>
      </c>
      <c r="L133" s="36">
        <v>-5252797</v>
      </c>
      <c r="N133" s="25" t="s">
        <v>48</v>
      </c>
      <c r="O133" s="25"/>
    </row>
    <row r="134" spans="1:15" ht="38.25" x14ac:dyDescent="0.2">
      <c r="A134" s="25">
        <v>132</v>
      </c>
      <c r="B134" s="37" t="s">
        <v>244</v>
      </c>
      <c r="C134" s="38" t="s">
        <v>98</v>
      </c>
      <c r="D134" s="39">
        <v>2687</v>
      </c>
      <c r="E134" s="38" t="s">
        <v>89</v>
      </c>
      <c r="F134" s="38" t="s">
        <v>89</v>
      </c>
      <c r="G134" s="32" t="s">
        <v>28</v>
      </c>
      <c r="H134" s="40">
        <v>45348</v>
      </c>
      <c r="I134" s="28" t="s">
        <v>60</v>
      </c>
      <c r="J134" s="38" t="s">
        <v>254</v>
      </c>
      <c r="K134" s="105" t="s">
        <v>448</v>
      </c>
      <c r="L134" s="96">
        <v>-5118447</v>
      </c>
      <c r="N134" s="25" t="s">
        <v>48</v>
      </c>
      <c r="O134" s="24"/>
    </row>
    <row r="135" spans="1:15" ht="38.25" x14ac:dyDescent="0.2">
      <c r="A135" s="25">
        <v>133</v>
      </c>
      <c r="B135" s="41" t="s">
        <v>305</v>
      </c>
      <c r="C135" s="38" t="s">
        <v>98</v>
      </c>
      <c r="D135" s="39">
        <v>88</v>
      </c>
      <c r="E135" s="38" t="s">
        <v>90</v>
      </c>
      <c r="F135" s="38" t="s">
        <v>90</v>
      </c>
      <c r="G135" s="32" t="s">
        <v>28</v>
      </c>
      <c r="H135" s="40">
        <v>45348</v>
      </c>
      <c r="I135" s="28" t="s">
        <v>60</v>
      </c>
      <c r="J135" s="38" t="s">
        <v>104</v>
      </c>
      <c r="K135" s="105" t="s">
        <v>449</v>
      </c>
      <c r="L135" s="36">
        <v>-5117934</v>
      </c>
      <c r="N135" s="25" t="s">
        <v>48</v>
      </c>
      <c r="O135" s="24"/>
    </row>
    <row r="136" spans="1:15" ht="51" x14ac:dyDescent="0.2">
      <c r="A136" s="25">
        <v>134</v>
      </c>
      <c r="B136" s="26">
        <v>132</v>
      </c>
      <c r="C136" s="38" t="s">
        <v>98</v>
      </c>
      <c r="D136" s="39">
        <v>1061</v>
      </c>
      <c r="E136" s="38" t="s">
        <v>90</v>
      </c>
      <c r="F136" s="38" t="s">
        <v>90</v>
      </c>
      <c r="G136" s="32" t="s">
        <v>28</v>
      </c>
      <c r="H136" s="40">
        <v>45348</v>
      </c>
      <c r="I136" s="28" t="s">
        <v>60</v>
      </c>
      <c r="J136" s="38" t="s">
        <v>104</v>
      </c>
      <c r="K136" s="105" t="s">
        <v>450</v>
      </c>
      <c r="L136" s="96">
        <v>-5123748</v>
      </c>
      <c r="N136" s="25" t="s">
        <v>48</v>
      </c>
      <c r="O136" s="33" t="s">
        <v>306</v>
      </c>
    </row>
    <row r="137" spans="1:15" ht="38.25" x14ac:dyDescent="0.2">
      <c r="A137" s="25">
        <v>135</v>
      </c>
      <c r="B137" s="28" t="s">
        <v>245</v>
      </c>
      <c r="C137" s="38" t="s">
        <v>255</v>
      </c>
      <c r="D137" s="39">
        <v>1886</v>
      </c>
      <c r="E137" s="38" t="s">
        <v>256</v>
      </c>
      <c r="F137" s="38" t="s">
        <v>256</v>
      </c>
      <c r="G137" s="32" t="s">
        <v>25</v>
      </c>
      <c r="H137" s="40">
        <v>45644</v>
      </c>
      <c r="I137" s="28" t="s">
        <v>60</v>
      </c>
      <c r="J137" s="38" t="s">
        <v>257</v>
      </c>
      <c r="K137" s="105" t="s">
        <v>451</v>
      </c>
      <c r="L137" s="97">
        <v>-5255746</v>
      </c>
      <c r="N137" s="25" t="s">
        <v>48</v>
      </c>
      <c r="O137" s="24"/>
    </row>
    <row r="138" spans="1:15" ht="25.5" x14ac:dyDescent="0.2">
      <c r="A138" s="25">
        <v>136</v>
      </c>
      <c r="B138" s="28" t="s">
        <v>246</v>
      </c>
      <c r="C138" s="38" t="s">
        <v>258</v>
      </c>
      <c r="D138" s="39">
        <v>2288</v>
      </c>
      <c r="E138" s="38" t="s">
        <v>259</v>
      </c>
      <c r="F138" s="38" t="s">
        <v>259</v>
      </c>
      <c r="G138" s="32" t="s">
        <v>25</v>
      </c>
      <c r="H138" s="40">
        <v>45657</v>
      </c>
      <c r="I138" s="28" t="s">
        <v>60</v>
      </c>
      <c r="J138" s="38" t="s">
        <v>61</v>
      </c>
      <c r="K138" s="105" t="s">
        <v>452</v>
      </c>
      <c r="L138" s="97">
        <v>-5194953</v>
      </c>
      <c r="N138" s="25" t="s">
        <v>48</v>
      </c>
      <c r="O138" s="24"/>
    </row>
    <row r="139" spans="1:15" ht="63.75" x14ac:dyDescent="0.2">
      <c r="A139" s="25">
        <v>137</v>
      </c>
      <c r="B139" s="28" t="s">
        <v>247</v>
      </c>
      <c r="C139" s="38" t="s">
        <v>260</v>
      </c>
      <c r="D139" s="39">
        <v>182</v>
      </c>
      <c r="E139" s="38" t="s">
        <v>261</v>
      </c>
      <c r="F139" s="38" t="s">
        <v>261</v>
      </c>
      <c r="G139" s="32" t="s">
        <v>25</v>
      </c>
      <c r="H139" s="40">
        <v>45642</v>
      </c>
      <c r="I139" s="28" t="s">
        <v>60</v>
      </c>
      <c r="J139" s="38" t="s">
        <v>262</v>
      </c>
      <c r="K139" s="106" t="s">
        <v>453</v>
      </c>
      <c r="L139" s="98">
        <v>-5257154</v>
      </c>
      <c r="N139" s="25" t="s">
        <v>48</v>
      </c>
      <c r="O139" s="24"/>
    </row>
    <row r="140" spans="1:15" ht="38.25" x14ac:dyDescent="0.2">
      <c r="A140" s="25">
        <v>138</v>
      </c>
      <c r="B140" s="28" t="s">
        <v>248</v>
      </c>
      <c r="C140" s="38" t="s">
        <v>255</v>
      </c>
      <c r="D140" s="42">
        <v>1121</v>
      </c>
      <c r="E140" s="38" t="s">
        <v>251</v>
      </c>
      <c r="F140" s="38" t="s">
        <v>251</v>
      </c>
      <c r="G140" s="32" t="s">
        <v>25</v>
      </c>
      <c r="H140" s="40">
        <v>45657</v>
      </c>
      <c r="I140" s="28" t="s">
        <v>60</v>
      </c>
      <c r="J140" s="38" t="s">
        <v>263</v>
      </c>
      <c r="K140" s="105" t="s">
        <v>454</v>
      </c>
      <c r="L140" s="96">
        <v>-5189337</v>
      </c>
      <c r="N140" s="25" t="s">
        <v>48</v>
      </c>
      <c r="O140" s="24"/>
    </row>
    <row r="141" spans="1:15" ht="38.25" x14ac:dyDescent="0.2">
      <c r="A141" s="25">
        <v>139</v>
      </c>
      <c r="B141" s="28" t="s">
        <v>249</v>
      </c>
      <c r="C141" s="38" t="s">
        <v>264</v>
      </c>
      <c r="D141" s="39">
        <v>181</v>
      </c>
      <c r="E141" s="38" t="s">
        <v>252</v>
      </c>
      <c r="F141" s="38" t="s">
        <v>252</v>
      </c>
      <c r="G141" s="32" t="s">
        <v>25</v>
      </c>
      <c r="H141" s="40">
        <v>45638</v>
      </c>
      <c r="I141" s="28" t="s">
        <v>60</v>
      </c>
      <c r="J141" s="38" t="s">
        <v>265</v>
      </c>
      <c r="K141" s="105" t="s">
        <v>455</v>
      </c>
      <c r="L141" s="96">
        <v>-5256405</v>
      </c>
      <c r="N141" s="25" t="s">
        <v>48</v>
      </c>
      <c r="O141" s="24"/>
    </row>
    <row r="142" spans="1:15" ht="38.25" x14ac:dyDescent="0.2">
      <c r="A142" s="25">
        <v>140</v>
      </c>
      <c r="B142" s="28" t="s">
        <v>250</v>
      </c>
      <c r="C142" s="38" t="s">
        <v>264</v>
      </c>
      <c r="D142" s="39">
        <v>697</v>
      </c>
      <c r="E142" s="38" t="s">
        <v>253</v>
      </c>
      <c r="F142" s="38" t="s">
        <v>253</v>
      </c>
      <c r="G142" s="32" t="s">
        <v>25</v>
      </c>
      <c r="H142" s="40">
        <v>45638</v>
      </c>
      <c r="I142" s="28" t="s">
        <v>60</v>
      </c>
      <c r="J142" s="38" t="s">
        <v>265</v>
      </c>
      <c r="K142" s="105" t="s">
        <v>456</v>
      </c>
      <c r="L142" s="96">
        <v>-5256125</v>
      </c>
      <c r="N142" s="25" t="s">
        <v>48</v>
      </c>
      <c r="O142" s="24"/>
    </row>
    <row r="143" spans="1:15" ht="40.9" customHeight="1" x14ac:dyDescent="0.2">
      <c r="A143" s="25">
        <v>141</v>
      </c>
      <c r="B143" s="59" t="s">
        <v>308</v>
      </c>
      <c r="C143" s="48" t="s">
        <v>267</v>
      </c>
      <c r="D143" s="47">
        <v>298</v>
      </c>
      <c r="E143" s="48" t="s">
        <v>268</v>
      </c>
      <c r="F143" s="48" t="s">
        <v>268</v>
      </c>
      <c r="G143" s="47" t="s">
        <v>27</v>
      </c>
      <c r="H143" s="49">
        <v>45654</v>
      </c>
      <c r="I143" s="46" t="s">
        <v>60</v>
      </c>
      <c r="J143" s="53" t="s">
        <v>266</v>
      </c>
      <c r="K143" s="107" t="s">
        <v>457</v>
      </c>
      <c r="L143" s="99">
        <v>-5128392</v>
      </c>
      <c r="N143" s="45" t="s">
        <v>48</v>
      </c>
      <c r="O143" s="24"/>
    </row>
    <row r="144" spans="1:15" ht="30.6" customHeight="1" x14ac:dyDescent="0.2">
      <c r="A144" s="25">
        <v>142</v>
      </c>
      <c r="B144" s="60" t="s">
        <v>309</v>
      </c>
      <c r="C144" s="47" t="s">
        <v>269</v>
      </c>
      <c r="D144" s="47">
        <v>550</v>
      </c>
      <c r="E144" s="50" t="s">
        <v>270</v>
      </c>
      <c r="F144" s="50" t="s">
        <v>270</v>
      </c>
      <c r="G144" s="51" t="s">
        <v>28</v>
      </c>
      <c r="H144" s="52">
        <v>45654</v>
      </c>
      <c r="I144" s="46" t="s">
        <v>60</v>
      </c>
      <c r="J144" s="53" t="s">
        <v>266</v>
      </c>
      <c r="K144" s="107" t="s">
        <v>458</v>
      </c>
      <c r="L144" s="100">
        <v>-5100342</v>
      </c>
      <c r="N144" s="45" t="s">
        <v>48</v>
      </c>
      <c r="O144" s="24"/>
    </row>
    <row r="145" spans="1:15" ht="36" x14ac:dyDescent="0.2">
      <c r="A145" s="25">
        <v>143</v>
      </c>
      <c r="B145" s="57" t="s">
        <v>271</v>
      </c>
      <c r="C145" s="54" t="s">
        <v>272</v>
      </c>
      <c r="D145" s="54">
        <v>3383</v>
      </c>
      <c r="E145" s="55" t="s">
        <v>273</v>
      </c>
      <c r="F145" s="55" t="s">
        <v>273</v>
      </c>
      <c r="G145" s="44" t="s">
        <v>26</v>
      </c>
      <c r="H145" s="56">
        <v>45886</v>
      </c>
      <c r="I145" s="46" t="s">
        <v>60</v>
      </c>
      <c r="J145" s="55" t="s">
        <v>281</v>
      </c>
      <c r="K145" s="108" t="s">
        <v>459</v>
      </c>
      <c r="L145" s="101">
        <v>-5143288</v>
      </c>
      <c r="N145" s="45" t="s">
        <v>48</v>
      </c>
      <c r="O145" s="24"/>
    </row>
    <row r="146" spans="1:15" ht="48" x14ac:dyDescent="0.2">
      <c r="A146" s="25">
        <v>144</v>
      </c>
      <c r="B146" s="54" t="s">
        <v>274</v>
      </c>
      <c r="C146" s="55" t="s">
        <v>275</v>
      </c>
      <c r="D146" s="24">
        <v>502</v>
      </c>
      <c r="E146" s="55" t="s">
        <v>276</v>
      </c>
      <c r="F146" s="55" t="s">
        <v>276</v>
      </c>
      <c r="G146" s="44" t="s">
        <v>25</v>
      </c>
      <c r="H146" s="56">
        <v>45889</v>
      </c>
      <c r="I146" s="46" t="s">
        <v>60</v>
      </c>
      <c r="J146" s="55" t="s">
        <v>280</v>
      </c>
      <c r="K146" s="108" t="s">
        <v>460</v>
      </c>
      <c r="L146" s="102">
        <v>-5279889</v>
      </c>
      <c r="N146" s="45" t="s">
        <v>48</v>
      </c>
      <c r="O146" s="24"/>
    </row>
    <row r="147" spans="1:15" ht="24" x14ac:dyDescent="0.2">
      <c r="A147" s="25">
        <v>145</v>
      </c>
      <c r="B147" s="54" t="s">
        <v>277</v>
      </c>
      <c r="C147" s="54" t="s">
        <v>278</v>
      </c>
      <c r="D147" s="54">
        <v>1834</v>
      </c>
      <c r="E147" s="55" t="s">
        <v>282</v>
      </c>
      <c r="F147" s="55" t="s">
        <v>282</v>
      </c>
      <c r="G147" s="44" t="s">
        <v>25</v>
      </c>
      <c r="H147" s="56">
        <v>45888</v>
      </c>
      <c r="I147" s="46" t="s">
        <v>60</v>
      </c>
      <c r="J147" s="55" t="s">
        <v>279</v>
      </c>
      <c r="K147" s="108" t="s">
        <v>461</v>
      </c>
      <c r="L147" s="102">
        <v>-5285136</v>
      </c>
      <c r="N147" s="45" t="s">
        <v>48</v>
      </c>
      <c r="O147" s="24"/>
    </row>
    <row r="148" spans="1:15" ht="48" x14ac:dyDescent="0.2">
      <c r="A148" s="25">
        <v>146</v>
      </c>
      <c r="B148" s="54" t="s">
        <v>283</v>
      </c>
      <c r="C148" s="55" t="s">
        <v>284</v>
      </c>
      <c r="D148" s="54">
        <v>380</v>
      </c>
      <c r="E148" s="55" t="s">
        <v>285</v>
      </c>
      <c r="F148" s="55" t="s">
        <v>285</v>
      </c>
      <c r="G148" s="44" t="s">
        <v>28</v>
      </c>
      <c r="H148" s="56">
        <v>45882</v>
      </c>
      <c r="I148" s="46" t="s">
        <v>60</v>
      </c>
      <c r="J148" s="55" t="s">
        <v>286</v>
      </c>
      <c r="K148" s="108" t="s">
        <v>462</v>
      </c>
      <c r="L148" s="101">
        <v>-5108479</v>
      </c>
      <c r="N148" s="45" t="s">
        <v>48</v>
      </c>
      <c r="O148" s="24"/>
    </row>
    <row r="149" spans="1:15" ht="31.15" customHeight="1" x14ac:dyDescent="0.2">
      <c r="A149" s="25">
        <v>147</v>
      </c>
      <c r="B149" s="54" t="s">
        <v>287</v>
      </c>
      <c r="C149" s="55" t="s">
        <v>288</v>
      </c>
      <c r="D149" s="54">
        <v>174</v>
      </c>
      <c r="E149" s="55" t="s">
        <v>289</v>
      </c>
      <c r="F149" s="55" t="s">
        <v>289</v>
      </c>
      <c r="G149" s="44" t="s">
        <v>25</v>
      </c>
      <c r="H149" s="56">
        <v>45883</v>
      </c>
      <c r="I149" s="46" t="s">
        <v>60</v>
      </c>
      <c r="J149" s="55" t="s">
        <v>290</v>
      </c>
      <c r="K149" s="108" t="s">
        <v>463</v>
      </c>
      <c r="L149" s="101">
        <v>-5248138</v>
      </c>
      <c r="N149" s="45" t="s">
        <v>48</v>
      </c>
      <c r="O149" s="24"/>
    </row>
    <row r="150" spans="1:15" ht="36" x14ac:dyDescent="0.2">
      <c r="A150" s="25">
        <v>148</v>
      </c>
      <c r="B150" s="54" t="s">
        <v>291</v>
      </c>
      <c r="C150" s="54" t="s">
        <v>292</v>
      </c>
      <c r="D150" s="54">
        <v>254</v>
      </c>
      <c r="E150" s="55" t="s">
        <v>293</v>
      </c>
      <c r="F150" s="55" t="s">
        <v>293</v>
      </c>
      <c r="G150" s="44" t="s">
        <v>27</v>
      </c>
      <c r="H150" s="58" t="s">
        <v>294</v>
      </c>
      <c r="I150" s="46" t="s">
        <v>60</v>
      </c>
      <c r="J150" s="54" t="s">
        <v>292</v>
      </c>
      <c r="K150" s="109" t="s">
        <v>464</v>
      </c>
      <c r="L150" s="101">
        <v>-5192638</v>
      </c>
      <c r="N150" s="45" t="s">
        <v>48</v>
      </c>
      <c r="O150" s="24"/>
    </row>
    <row r="151" spans="1:15" ht="36" x14ac:dyDescent="0.2">
      <c r="A151" s="25">
        <v>149</v>
      </c>
      <c r="B151" s="54" t="s">
        <v>295</v>
      </c>
      <c r="C151" s="55" t="s">
        <v>296</v>
      </c>
      <c r="D151" s="54">
        <v>286</v>
      </c>
      <c r="E151" s="55" t="s">
        <v>297</v>
      </c>
      <c r="F151" s="55" t="s">
        <v>297</v>
      </c>
      <c r="G151" s="44" t="s">
        <v>29</v>
      </c>
      <c r="H151" s="56">
        <v>45884</v>
      </c>
      <c r="I151" s="46" t="s">
        <v>60</v>
      </c>
      <c r="J151" s="55" t="s">
        <v>298</v>
      </c>
      <c r="K151" s="108" t="s">
        <v>465</v>
      </c>
      <c r="L151" s="102">
        <v>-5100938</v>
      </c>
      <c r="N151" s="45" t="s">
        <v>48</v>
      </c>
      <c r="O151" s="24"/>
    </row>
    <row r="152" spans="1:15" ht="48" x14ac:dyDescent="0.2">
      <c r="A152" s="25">
        <v>150</v>
      </c>
      <c r="B152" s="54" t="s">
        <v>299</v>
      </c>
      <c r="C152" s="55" t="s">
        <v>98</v>
      </c>
      <c r="D152" s="54">
        <v>1210</v>
      </c>
      <c r="E152" s="55" t="s">
        <v>300</v>
      </c>
      <c r="F152" s="55" t="s">
        <v>300</v>
      </c>
      <c r="G152" s="44" t="s">
        <v>28</v>
      </c>
      <c r="H152" s="56">
        <v>45887</v>
      </c>
      <c r="I152" s="46" t="s">
        <v>60</v>
      </c>
      <c r="J152" s="55" t="s">
        <v>301</v>
      </c>
      <c r="K152" s="108" t="s">
        <v>466</v>
      </c>
      <c r="L152" s="102">
        <v>-5136850</v>
      </c>
      <c r="N152" s="45" t="s">
        <v>48</v>
      </c>
      <c r="O152" s="24"/>
    </row>
    <row r="153" spans="1:15" ht="36" x14ac:dyDescent="0.2">
      <c r="A153" s="25">
        <v>151</v>
      </c>
      <c r="B153" s="54" t="s">
        <v>302</v>
      </c>
      <c r="C153" s="54" t="s">
        <v>303</v>
      </c>
      <c r="D153" s="54">
        <v>2988</v>
      </c>
      <c r="E153" s="55" t="s">
        <v>304</v>
      </c>
      <c r="F153" s="55" t="s">
        <v>304</v>
      </c>
      <c r="G153" s="44" t="s">
        <v>29</v>
      </c>
      <c r="H153" s="56">
        <v>45905</v>
      </c>
      <c r="I153" s="46" t="s">
        <v>60</v>
      </c>
      <c r="J153" s="54" t="s">
        <v>303</v>
      </c>
      <c r="K153" s="109" t="s">
        <v>467</v>
      </c>
      <c r="L153" s="102">
        <v>-5102071</v>
      </c>
      <c r="N153" s="45" t="s">
        <v>48</v>
      </c>
      <c r="O153" s="24"/>
    </row>
    <row r="154" spans="1:15" x14ac:dyDescent="0.2">
      <c r="A154" s="25">
        <v>153</v>
      </c>
      <c r="B154" s="43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45"/>
      <c r="O154" s="24"/>
    </row>
    <row r="155" spans="1:15" x14ac:dyDescent="0.2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45"/>
      <c r="O155" s="24"/>
    </row>
    <row r="156" spans="1:15" x14ac:dyDescent="0.2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45"/>
      <c r="O156" s="24"/>
    </row>
    <row r="157" spans="1:15" x14ac:dyDescent="0.2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45"/>
      <c r="O157" s="24"/>
    </row>
    <row r="158" spans="1:15" x14ac:dyDescent="0.2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</row>
    <row r="159" spans="1:15" x14ac:dyDescent="0.2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</row>
    <row r="160" spans="1:15" x14ac:dyDescent="0.2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</row>
    <row r="161" spans="1:15" x14ac:dyDescent="0.2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</row>
    <row r="162" spans="1:15" x14ac:dyDescent="0.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</row>
    <row r="163" spans="1:15" x14ac:dyDescent="0.2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</row>
    <row r="164" spans="1:15" x14ac:dyDescent="0.2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</row>
    <row r="165" spans="1:15" x14ac:dyDescent="0.2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</row>
    <row r="166" spans="1:15" x14ac:dyDescent="0.2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</row>
  </sheetData>
  <pageMargins left="0.7" right="0.7" top="0.75" bottom="0.75" header="0.3" footer="0.3"/>
  <pageSetup paperSize="9" scale="58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98D8-146E-4FBC-B3CB-15FC0A11F0C0}">
  <dimension ref="A1:B153"/>
  <sheetViews>
    <sheetView topLeftCell="A141" workbookViewId="0">
      <selection activeCell="A2" sqref="A2:A152"/>
    </sheetView>
  </sheetViews>
  <sheetFormatPr defaultRowHeight="12.75" x14ac:dyDescent="0.2"/>
  <cols>
    <col min="1" max="1" width="22.5" bestFit="1" customWidth="1"/>
    <col min="2" max="2" width="12.6640625" style="104" bestFit="1" customWidth="1"/>
  </cols>
  <sheetData>
    <row r="1" spans="1:2" x14ac:dyDescent="0.2">
      <c r="A1" t="s">
        <v>311</v>
      </c>
      <c r="B1" s="104" t="s">
        <v>312</v>
      </c>
    </row>
    <row r="2" spans="1:2" x14ac:dyDescent="0.2">
      <c r="A2" s="36">
        <v>-5253531</v>
      </c>
      <c r="B2" s="103" t="s">
        <v>316</v>
      </c>
    </row>
    <row r="3" spans="1:2" x14ac:dyDescent="0.2">
      <c r="A3" s="36">
        <v>-5256962</v>
      </c>
      <c r="B3" s="103" t="s">
        <v>317</v>
      </c>
    </row>
    <row r="4" spans="1:2" x14ac:dyDescent="0.2">
      <c r="A4" s="36">
        <v>-5177638</v>
      </c>
      <c r="B4" s="103" t="s">
        <v>318</v>
      </c>
    </row>
    <row r="5" spans="1:2" x14ac:dyDescent="0.2">
      <c r="A5" s="36">
        <v>-5140719</v>
      </c>
      <c r="B5" s="103" t="s">
        <v>319</v>
      </c>
    </row>
    <row r="6" spans="1:2" x14ac:dyDescent="0.2">
      <c r="A6" s="36">
        <v>-5303542</v>
      </c>
      <c r="B6" s="103" t="s">
        <v>320</v>
      </c>
    </row>
    <row r="7" spans="1:2" x14ac:dyDescent="0.2">
      <c r="A7" s="36" t="s">
        <v>315</v>
      </c>
      <c r="B7" s="103" t="s">
        <v>321</v>
      </c>
    </row>
    <row r="8" spans="1:2" x14ac:dyDescent="0.2">
      <c r="A8" s="36">
        <v>-5306965</v>
      </c>
      <c r="B8" s="103" t="s">
        <v>322</v>
      </c>
    </row>
    <row r="9" spans="1:2" x14ac:dyDescent="0.2">
      <c r="A9" s="36">
        <v>-5311720</v>
      </c>
      <c r="B9" s="103" t="s">
        <v>323</v>
      </c>
    </row>
    <row r="10" spans="1:2" x14ac:dyDescent="0.2">
      <c r="A10" s="36">
        <v>-5324539</v>
      </c>
      <c r="B10" s="103" t="s">
        <v>324</v>
      </c>
    </row>
    <row r="11" spans="1:2" x14ac:dyDescent="0.2">
      <c r="A11" s="36">
        <v>-5320894</v>
      </c>
      <c r="B11" s="103" t="s">
        <v>325</v>
      </c>
    </row>
    <row r="12" spans="1:2" x14ac:dyDescent="0.2">
      <c r="A12" s="36">
        <v>-5239714</v>
      </c>
      <c r="B12" s="103" t="s">
        <v>326</v>
      </c>
    </row>
    <row r="13" spans="1:2" x14ac:dyDescent="0.2">
      <c r="A13" s="36">
        <v>-5128458</v>
      </c>
      <c r="B13" s="103" t="s">
        <v>327</v>
      </c>
    </row>
    <row r="14" spans="1:2" x14ac:dyDescent="0.2">
      <c r="A14" s="36">
        <v>-5117003</v>
      </c>
      <c r="B14" s="103" t="s">
        <v>328</v>
      </c>
    </row>
    <row r="15" spans="1:2" x14ac:dyDescent="0.2">
      <c r="A15" s="36">
        <v>-5132592</v>
      </c>
      <c r="B15" s="103" t="s">
        <v>329</v>
      </c>
    </row>
    <row r="16" spans="1:2" x14ac:dyDescent="0.2">
      <c r="A16" s="36">
        <v>-5133588</v>
      </c>
      <c r="B16" s="103" t="s">
        <v>330</v>
      </c>
    </row>
    <row r="17" spans="1:2" x14ac:dyDescent="0.2">
      <c r="A17" s="36">
        <v>-5131554</v>
      </c>
      <c r="B17" s="103" t="s">
        <v>331</v>
      </c>
    </row>
    <row r="18" spans="1:2" x14ac:dyDescent="0.2">
      <c r="A18" s="36">
        <v>-5128856</v>
      </c>
      <c r="B18" s="103" t="s">
        <v>332</v>
      </c>
    </row>
    <row r="19" spans="1:2" x14ac:dyDescent="0.2">
      <c r="A19" s="36">
        <v>-5122980</v>
      </c>
      <c r="B19" s="103" t="s">
        <v>333</v>
      </c>
    </row>
    <row r="20" spans="1:2" x14ac:dyDescent="0.2">
      <c r="A20" s="36">
        <v>-5110708</v>
      </c>
      <c r="B20" s="103" t="s">
        <v>335</v>
      </c>
    </row>
    <row r="21" spans="1:2" x14ac:dyDescent="0.2">
      <c r="A21" s="36">
        <v>-5132176</v>
      </c>
      <c r="B21" s="103" t="s">
        <v>334</v>
      </c>
    </row>
    <row r="22" spans="1:2" x14ac:dyDescent="0.2">
      <c r="A22" s="36">
        <v>-5131270</v>
      </c>
      <c r="B22" s="103" t="s">
        <v>336</v>
      </c>
    </row>
    <row r="23" spans="1:2" x14ac:dyDescent="0.2">
      <c r="A23" s="36">
        <v>-5129221</v>
      </c>
      <c r="B23" s="103" t="s">
        <v>337</v>
      </c>
    </row>
    <row r="24" spans="1:2" x14ac:dyDescent="0.2">
      <c r="A24" s="36">
        <v>-5127288</v>
      </c>
      <c r="B24" s="103" t="s">
        <v>338</v>
      </c>
    </row>
    <row r="25" spans="1:2" x14ac:dyDescent="0.2">
      <c r="A25" s="36">
        <v>-5122716</v>
      </c>
      <c r="B25" s="103" t="s">
        <v>339</v>
      </c>
    </row>
    <row r="26" spans="1:2" x14ac:dyDescent="0.2">
      <c r="A26" s="36">
        <v>-5117464</v>
      </c>
      <c r="B26" s="103" t="s">
        <v>340</v>
      </c>
    </row>
    <row r="27" spans="1:2" x14ac:dyDescent="0.2">
      <c r="A27" s="36">
        <v>-5113157</v>
      </c>
      <c r="B27" s="103" t="s">
        <v>341</v>
      </c>
    </row>
    <row r="28" spans="1:2" x14ac:dyDescent="0.2">
      <c r="A28" s="36">
        <v>-5116934</v>
      </c>
      <c r="B28" s="103" t="s">
        <v>342</v>
      </c>
    </row>
    <row r="29" spans="1:2" x14ac:dyDescent="0.2">
      <c r="A29" s="36">
        <v>-5119370</v>
      </c>
      <c r="B29" s="103" t="s">
        <v>343</v>
      </c>
    </row>
    <row r="30" spans="1:2" x14ac:dyDescent="0.2">
      <c r="A30" s="36">
        <v>-5126493</v>
      </c>
      <c r="B30" s="103" t="s">
        <v>344</v>
      </c>
    </row>
    <row r="31" spans="1:2" x14ac:dyDescent="0.2">
      <c r="A31" s="36">
        <v>-5120659</v>
      </c>
      <c r="B31" s="103" t="s">
        <v>345</v>
      </c>
    </row>
    <row r="32" spans="1:2" x14ac:dyDescent="0.2">
      <c r="A32" s="36">
        <v>-5130916</v>
      </c>
      <c r="B32" s="103" t="s">
        <v>346</v>
      </c>
    </row>
    <row r="33" spans="1:2" x14ac:dyDescent="0.2">
      <c r="A33" s="36">
        <v>-5129748</v>
      </c>
      <c r="B33" s="103" t="s">
        <v>347</v>
      </c>
    </row>
    <row r="34" spans="1:2" x14ac:dyDescent="0.2">
      <c r="A34" s="36">
        <v>-5128587</v>
      </c>
      <c r="B34" s="103" t="s">
        <v>348</v>
      </c>
    </row>
    <row r="35" spans="1:2" x14ac:dyDescent="0.2">
      <c r="A35" s="36">
        <v>-5126191</v>
      </c>
      <c r="B35" s="103" t="s">
        <v>349</v>
      </c>
    </row>
    <row r="36" spans="1:2" x14ac:dyDescent="0.2">
      <c r="A36" s="36">
        <v>-5127263</v>
      </c>
      <c r="B36" s="103" t="s">
        <v>350</v>
      </c>
    </row>
    <row r="37" spans="1:2" x14ac:dyDescent="0.2">
      <c r="A37" s="36">
        <v>-5120041</v>
      </c>
      <c r="B37" s="103" t="s">
        <v>351</v>
      </c>
    </row>
    <row r="38" spans="1:2" x14ac:dyDescent="0.2">
      <c r="A38" s="36">
        <v>-5109824</v>
      </c>
      <c r="B38" s="103" t="s">
        <v>352</v>
      </c>
    </row>
    <row r="39" spans="1:2" x14ac:dyDescent="0.2">
      <c r="A39" s="36">
        <v>-5108627</v>
      </c>
      <c r="B39" s="103" t="s">
        <v>353</v>
      </c>
    </row>
    <row r="40" spans="1:2" x14ac:dyDescent="0.2">
      <c r="A40" s="36">
        <v>-5107683</v>
      </c>
      <c r="B40" s="103" t="s">
        <v>354</v>
      </c>
    </row>
    <row r="41" spans="1:2" x14ac:dyDescent="0.2">
      <c r="A41" s="36">
        <v>-5109315</v>
      </c>
      <c r="B41" s="103" t="s">
        <v>355</v>
      </c>
    </row>
    <row r="42" spans="1:2" x14ac:dyDescent="0.2">
      <c r="A42" s="36">
        <v>-5131869</v>
      </c>
      <c r="B42" s="103" t="s">
        <v>356</v>
      </c>
    </row>
    <row r="43" spans="1:2" x14ac:dyDescent="0.2">
      <c r="A43" s="36">
        <v>-5134597</v>
      </c>
      <c r="B43" s="103" t="s">
        <v>357</v>
      </c>
    </row>
    <row r="44" spans="1:2" x14ac:dyDescent="0.2">
      <c r="A44" s="36">
        <v>-5131766</v>
      </c>
      <c r="B44" s="103" t="s">
        <v>358</v>
      </c>
    </row>
    <row r="45" spans="1:2" x14ac:dyDescent="0.2">
      <c r="A45" s="36">
        <v>-5112874</v>
      </c>
      <c r="B45" s="103" t="s">
        <v>359</v>
      </c>
    </row>
    <row r="46" spans="1:2" x14ac:dyDescent="0.2">
      <c r="A46" s="36">
        <v>-5111746</v>
      </c>
      <c r="B46" s="103" t="s">
        <v>360</v>
      </c>
    </row>
    <row r="47" spans="1:2" x14ac:dyDescent="0.2">
      <c r="A47" s="36">
        <v>-5115309</v>
      </c>
      <c r="B47" s="103" t="s">
        <v>361</v>
      </c>
    </row>
    <row r="48" spans="1:2" x14ac:dyDescent="0.2">
      <c r="A48" s="36">
        <v>-5112469</v>
      </c>
      <c r="B48" s="103" t="s">
        <v>362</v>
      </c>
    </row>
    <row r="49" spans="1:2" x14ac:dyDescent="0.2">
      <c r="A49" s="36">
        <v>-5139919</v>
      </c>
      <c r="B49" s="103" t="s">
        <v>363</v>
      </c>
    </row>
    <row r="50" spans="1:2" x14ac:dyDescent="0.2">
      <c r="A50" s="36">
        <v>-5132761</v>
      </c>
      <c r="B50" s="103" t="s">
        <v>364</v>
      </c>
    </row>
    <row r="51" spans="1:2" x14ac:dyDescent="0.2">
      <c r="A51" s="36">
        <v>-5129723</v>
      </c>
      <c r="B51" s="103" t="s">
        <v>365</v>
      </c>
    </row>
    <row r="52" spans="1:2" x14ac:dyDescent="0.2">
      <c r="A52" s="36">
        <v>-5120928</v>
      </c>
      <c r="B52" s="103" t="s">
        <v>366</v>
      </c>
    </row>
    <row r="53" spans="1:2" x14ac:dyDescent="0.2">
      <c r="A53" s="36">
        <v>-5121238</v>
      </c>
      <c r="B53" s="103" t="s">
        <v>367</v>
      </c>
    </row>
    <row r="54" spans="1:2" x14ac:dyDescent="0.2">
      <c r="A54" s="36">
        <v>-5123947</v>
      </c>
      <c r="B54" s="103" t="s">
        <v>368</v>
      </c>
    </row>
    <row r="55" spans="1:2" x14ac:dyDescent="0.2">
      <c r="A55" s="36">
        <v>-5118223</v>
      </c>
      <c r="B55" s="103" t="s">
        <v>369</v>
      </c>
    </row>
    <row r="56" spans="1:2" x14ac:dyDescent="0.2">
      <c r="A56" s="36">
        <v>-5119710</v>
      </c>
      <c r="B56" s="103" t="s">
        <v>370</v>
      </c>
    </row>
    <row r="57" spans="1:2" x14ac:dyDescent="0.2">
      <c r="A57" s="36">
        <v>-5119604</v>
      </c>
      <c r="B57" s="103" t="s">
        <v>371</v>
      </c>
    </row>
    <row r="58" spans="1:2" x14ac:dyDescent="0.2">
      <c r="A58" s="36">
        <v>-5119985</v>
      </c>
      <c r="B58" s="103" t="s">
        <v>372</v>
      </c>
    </row>
    <row r="59" spans="1:2" x14ac:dyDescent="0.2">
      <c r="A59" s="36">
        <v>-5119116</v>
      </c>
      <c r="B59" s="103" t="s">
        <v>373</v>
      </c>
    </row>
    <row r="60" spans="1:2" x14ac:dyDescent="0.2">
      <c r="A60" s="36">
        <v>-5118820</v>
      </c>
      <c r="B60" s="103" t="s">
        <v>374</v>
      </c>
    </row>
    <row r="61" spans="1:2" x14ac:dyDescent="0.2">
      <c r="A61" s="36">
        <v>-5117711</v>
      </c>
      <c r="B61" s="103" t="s">
        <v>375</v>
      </c>
    </row>
    <row r="62" spans="1:2" x14ac:dyDescent="0.2">
      <c r="A62" s="36">
        <v>-5117597</v>
      </c>
      <c r="B62" s="103" t="s">
        <v>376</v>
      </c>
    </row>
    <row r="63" spans="1:2" x14ac:dyDescent="0.2">
      <c r="A63" s="36">
        <v>-5118457</v>
      </c>
      <c r="B63" s="103" t="s">
        <v>377</v>
      </c>
    </row>
    <row r="64" spans="1:2" x14ac:dyDescent="0.2">
      <c r="A64" s="36">
        <v>-5118041</v>
      </c>
      <c r="B64" s="103" t="s">
        <v>378</v>
      </c>
    </row>
    <row r="65" spans="1:2" x14ac:dyDescent="0.2">
      <c r="A65" s="36">
        <v>-5117817</v>
      </c>
      <c r="B65" s="103" t="s">
        <v>379</v>
      </c>
    </row>
    <row r="66" spans="1:2" x14ac:dyDescent="0.2">
      <c r="A66" s="36">
        <v>-5117173</v>
      </c>
      <c r="B66" s="103" t="s">
        <v>380</v>
      </c>
    </row>
    <row r="67" spans="1:2" x14ac:dyDescent="0.2">
      <c r="A67" s="36">
        <v>-5134289</v>
      </c>
      <c r="B67" s="103" t="s">
        <v>381</v>
      </c>
    </row>
    <row r="68" spans="1:2" x14ac:dyDescent="0.2">
      <c r="A68" s="36">
        <v>-5133496</v>
      </c>
      <c r="B68" s="103" t="s">
        <v>382</v>
      </c>
    </row>
    <row r="69" spans="1:2" x14ac:dyDescent="0.2">
      <c r="A69" s="36">
        <v>-5130668</v>
      </c>
      <c r="B69" s="103" t="s">
        <v>383</v>
      </c>
    </row>
    <row r="70" spans="1:2" x14ac:dyDescent="0.2">
      <c r="A70" s="36">
        <v>-5120855</v>
      </c>
      <c r="B70" s="103" t="s">
        <v>384</v>
      </c>
    </row>
    <row r="71" spans="1:2" x14ac:dyDescent="0.2">
      <c r="A71" s="36">
        <v>-5117195</v>
      </c>
      <c r="B71" s="103" t="s">
        <v>385</v>
      </c>
    </row>
    <row r="72" spans="1:2" x14ac:dyDescent="0.2">
      <c r="A72" s="36">
        <v>-5113356</v>
      </c>
      <c r="B72" s="103" t="s">
        <v>386</v>
      </c>
    </row>
    <row r="73" spans="1:2" x14ac:dyDescent="0.2">
      <c r="A73" s="36">
        <v>-5114525</v>
      </c>
      <c r="B73" s="103" t="s">
        <v>387</v>
      </c>
    </row>
    <row r="74" spans="1:2" x14ac:dyDescent="0.2">
      <c r="A74" s="36">
        <v>-5114938</v>
      </c>
      <c r="B74" s="103" t="s">
        <v>388</v>
      </c>
    </row>
    <row r="75" spans="1:2" x14ac:dyDescent="0.2">
      <c r="A75" s="36">
        <v>-5110406</v>
      </c>
      <c r="B75" s="103" t="s">
        <v>389</v>
      </c>
    </row>
    <row r="76" spans="1:2" x14ac:dyDescent="0.2">
      <c r="A76" s="36">
        <v>-5117938</v>
      </c>
      <c r="B76" s="103" t="s">
        <v>390</v>
      </c>
    </row>
    <row r="77" spans="1:2" x14ac:dyDescent="0.2">
      <c r="A77" s="36">
        <v>-5131610</v>
      </c>
      <c r="B77" s="103" t="s">
        <v>391</v>
      </c>
    </row>
    <row r="78" spans="1:2" x14ac:dyDescent="0.2">
      <c r="A78" s="36">
        <v>-5117203</v>
      </c>
      <c r="B78" s="103" t="s">
        <v>392</v>
      </c>
    </row>
    <row r="79" spans="1:2" x14ac:dyDescent="0.2">
      <c r="A79" s="36">
        <v>-5134463</v>
      </c>
      <c r="B79" s="103" t="s">
        <v>393</v>
      </c>
    </row>
    <row r="80" spans="1:2" x14ac:dyDescent="0.2">
      <c r="A80" s="36">
        <v>-5133023</v>
      </c>
      <c r="B80" s="103" t="s">
        <v>394</v>
      </c>
    </row>
    <row r="81" spans="1:2" x14ac:dyDescent="0.2">
      <c r="A81" s="36">
        <v>-5118600</v>
      </c>
      <c r="B81" s="103" t="s">
        <v>395</v>
      </c>
    </row>
    <row r="82" spans="1:2" x14ac:dyDescent="0.2">
      <c r="A82" s="36">
        <v>-5117695</v>
      </c>
      <c r="B82" s="103" t="s">
        <v>396</v>
      </c>
    </row>
    <row r="83" spans="1:2" x14ac:dyDescent="0.2">
      <c r="A83" s="36">
        <v>-5117113</v>
      </c>
      <c r="B83" s="103" t="s">
        <v>397</v>
      </c>
    </row>
    <row r="84" spans="1:2" x14ac:dyDescent="0.2">
      <c r="A84" s="36">
        <v>-5120096</v>
      </c>
      <c r="B84" s="103" t="s">
        <v>398</v>
      </c>
    </row>
    <row r="85" spans="1:2" x14ac:dyDescent="0.2">
      <c r="A85" s="36">
        <v>-5117918</v>
      </c>
      <c r="B85" s="103" t="s">
        <v>399</v>
      </c>
    </row>
    <row r="86" spans="1:2" x14ac:dyDescent="0.2">
      <c r="A86" s="36">
        <v>-5118525</v>
      </c>
      <c r="B86" s="103" t="s">
        <v>400</v>
      </c>
    </row>
    <row r="87" spans="1:2" x14ac:dyDescent="0.2">
      <c r="A87" s="36">
        <v>-5118686</v>
      </c>
      <c r="B87" s="103" t="s">
        <v>401</v>
      </c>
    </row>
    <row r="88" spans="1:2" x14ac:dyDescent="0.2">
      <c r="A88" s="36">
        <v>-5118005</v>
      </c>
      <c r="B88" s="103" t="s">
        <v>402</v>
      </c>
    </row>
    <row r="89" spans="1:2" x14ac:dyDescent="0.2">
      <c r="A89" s="36">
        <v>-5117466</v>
      </c>
      <c r="B89" s="103" t="s">
        <v>403</v>
      </c>
    </row>
    <row r="90" spans="1:2" x14ac:dyDescent="0.2">
      <c r="A90" s="36">
        <v>-5116794</v>
      </c>
      <c r="B90" s="103" t="s">
        <v>404</v>
      </c>
    </row>
    <row r="91" spans="1:2" x14ac:dyDescent="0.2">
      <c r="A91" s="36">
        <v>-5118193</v>
      </c>
      <c r="B91" s="103" t="s">
        <v>405</v>
      </c>
    </row>
    <row r="92" spans="1:2" x14ac:dyDescent="0.2">
      <c r="A92" s="36">
        <v>-5116968</v>
      </c>
      <c r="B92" s="103" t="s">
        <v>406</v>
      </c>
    </row>
    <row r="93" spans="1:2" x14ac:dyDescent="0.2">
      <c r="A93" s="36">
        <v>-5115360</v>
      </c>
      <c r="B93" s="103" t="s">
        <v>407</v>
      </c>
    </row>
    <row r="94" spans="1:2" x14ac:dyDescent="0.2">
      <c r="A94" s="36">
        <v>-5116418</v>
      </c>
      <c r="B94" s="103" t="s">
        <v>408</v>
      </c>
    </row>
    <row r="95" spans="1:2" x14ac:dyDescent="0.2">
      <c r="A95" s="36">
        <v>-5117609</v>
      </c>
      <c r="B95" s="103" t="s">
        <v>409</v>
      </c>
    </row>
    <row r="96" spans="1:2" x14ac:dyDescent="0.2">
      <c r="A96" s="36">
        <v>-5119694</v>
      </c>
      <c r="B96" s="103" t="s">
        <v>410</v>
      </c>
    </row>
    <row r="97" spans="1:2" x14ac:dyDescent="0.2">
      <c r="A97" s="36">
        <v>-5121971</v>
      </c>
      <c r="B97" s="103" t="s">
        <v>411</v>
      </c>
    </row>
    <row r="98" spans="1:2" x14ac:dyDescent="0.2">
      <c r="A98" s="36">
        <v>-5118905</v>
      </c>
      <c r="B98" s="103" t="s">
        <v>412</v>
      </c>
    </row>
    <row r="99" spans="1:2" x14ac:dyDescent="0.2">
      <c r="A99" s="36">
        <v>-5120799</v>
      </c>
      <c r="B99" s="103" t="s">
        <v>413</v>
      </c>
    </row>
    <row r="100" spans="1:2" x14ac:dyDescent="0.2">
      <c r="A100" s="36">
        <v>-5125461</v>
      </c>
      <c r="B100" s="103" t="s">
        <v>414</v>
      </c>
    </row>
    <row r="101" spans="1:2" x14ac:dyDescent="0.2">
      <c r="A101" s="36">
        <v>-5115946</v>
      </c>
      <c r="B101" s="103" t="s">
        <v>415</v>
      </c>
    </row>
    <row r="102" spans="1:2" x14ac:dyDescent="0.2">
      <c r="A102" s="36">
        <v>-5133726</v>
      </c>
      <c r="B102" s="103" t="s">
        <v>416</v>
      </c>
    </row>
    <row r="103" spans="1:2" x14ac:dyDescent="0.2">
      <c r="A103" s="36">
        <v>-5138296</v>
      </c>
      <c r="B103" s="103" t="s">
        <v>417</v>
      </c>
    </row>
    <row r="104" spans="1:2" x14ac:dyDescent="0.2">
      <c r="A104" s="36">
        <v>-5120191</v>
      </c>
      <c r="B104" s="103" t="s">
        <v>418</v>
      </c>
    </row>
    <row r="105" spans="1:2" x14ac:dyDescent="0.2">
      <c r="A105" s="36">
        <v>-5137109</v>
      </c>
      <c r="B105" s="103" t="s">
        <v>420</v>
      </c>
    </row>
    <row r="106" spans="1:2" x14ac:dyDescent="0.2">
      <c r="A106" s="36">
        <v>-5132679</v>
      </c>
      <c r="B106" s="103" t="s">
        <v>421</v>
      </c>
    </row>
    <row r="107" spans="1:2" x14ac:dyDescent="0.2">
      <c r="A107" s="36">
        <v>-5132553</v>
      </c>
      <c r="B107" s="103" t="s">
        <v>422</v>
      </c>
    </row>
    <row r="108" spans="1:2" x14ac:dyDescent="0.2">
      <c r="A108" s="36">
        <v>-5115545</v>
      </c>
      <c r="B108" s="103" t="s">
        <v>423</v>
      </c>
    </row>
    <row r="109" spans="1:2" x14ac:dyDescent="0.2">
      <c r="A109" s="36">
        <v>-5117056</v>
      </c>
      <c r="B109" s="103" t="s">
        <v>424</v>
      </c>
    </row>
    <row r="110" spans="1:2" x14ac:dyDescent="0.2">
      <c r="A110" s="36">
        <v>-5123303</v>
      </c>
      <c r="B110" s="103" t="s">
        <v>425</v>
      </c>
    </row>
    <row r="111" spans="1:2" x14ac:dyDescent="0.2">
      <c r="A111" s="36">
        <v>-5123664</v>
      </c>
      <c r="B111" s="103" t="s">
        <v>426</v>
      </c>
    </row>
    <row r="112" spans="1:2" x14ac:dyDescent="0.2">
      <c r="A112" s="36">
        <v>-5114817</v>
      </c>
      <c r="B112" s="103" t="s">
        <v>427</v>
      </c>
    </row>
    <row r="113" spans="1:2" x14ac:dyDescent="0.2">
      <c r="A113" s="36">
        <v>-5113925</v>
      </c>
      <c r="B113" s="103" t="s">
        <v>428</v>
      </c>
    </row>
    <row r="114" spans="1:2" x14ac:dyDescent="0.2">
      <c r="A114" s="36">
        <v>-5112247</v>
      </c>
      <c r="B114" s="103" t="s">
        <v>429</v>
      </c>
    </row>
    <row r="115" spans="1:2" x14ac:dyDescent="0.2">
      <c r="A115" s="36">
        <v>-5116313</v>
      </c>
      <c r="B115" s="103" t="s">
        <v>430</v>
      </c>
    </row>
    <row r="116" spans="1:2" x14ac:dyDescent="0.2">
      <c r="A116" s="36">
        <v>-5115626</v>
      </c>
      <c r="B116" s="103" t="s">
        <v>431</v>
      </c>
    </row>
    <row r="117" spans="1:2" x14ac:dyDescent="0.2">
      <c r="A117" s="36">
        <v>-5115023</v>
      </c>
      <c r="B117" s="103" t="s">
        <v>432</v>
      </c>
    </row>
    <row r="118" spans="1:2" x14ac:dyDescent="0.2">
      <c r="A118" s="36">
        <v>-5114067</v>
      </c>
      <c r="B118" s="103" t="s">
        <v>433</v>
      </c>
    </row>
    <row r="119" spans="1:2" x14ac:dyDescent="0.2">
      <c r="A119" s="36">
        <v>-5251673</v>
      </c>
      <c r="B119" s="103" t="s">
        <v>434</v>
      </c>
    </row>
    <row r="120" spans="1:2" x14ac:dyDescent="0.2">
      <c r="A120" s="36">
        <v>-5118242</v>
      </c>
      <c r="B120" s="103" t="s">
        <v>435</v>
      </c>
    </row>
    <row r="121" spans="1:2" x14ac:dyDescent="0.2">
      <c r="A121" s="36">
        <v>-5117922</v>
      </c>
      <c r="B121" s="103" t="s">
        <v>436</v>
      </c>
    </row>
    <row r="122" spans="1:2" x14ac:dyDescent="0.2">
      <c r="A122" s="36">
        <v>-5118574</v>
      </c>
      <c r="B122" s="103" t="s">
        <v>437</v>
      </c>
    </row>
    <row r="123" spans="1:2" x14ac:dyDescent="0.2">
      <c r="A123" s="36">
        <v>-5272543</v>
      </c>
      <c r="B123" s="103" t="s">
        <v>438</v>
      </c>
    </row>
    <row r="124" spans="1:2" x14ac:dyDescent="0.2">
      <c r="A124" s="36">
        <v>-5271567</v>
      </c>
      <c r="B124" s="103" t="s">
        <v>439</v>
      </c>
    </row>
    <row r="125" spans="1:2" x14ac:dyDescent="0.2">
      <c r="A125" s="36">
        <v>-5254527</v>
      </c>
      <c r="B125" s="103" t="s">
        <v>440</v>
      </c>
    </row>
    <row r="126" spans="1:2" x14ac:dyDescent="0.2">
      <c r="A126" s="36">
        <v>-5246529</v>
      </c>
      <c r="B126" s="103" t="s">
        <v>441</v>
      </c>
    </row>
    <row r="127" spans="1:2" x14ac:dyDescent="0.2">
      <c r="A127" s="36">
        <v>-5125368</v>
      </c>
      <c r="B127" s="103" t="s">
        <v>442</v>
      </c>
    </row>
    <row r="128" spans="1:2" x14ac:dyDescent="0.2">
      <c r="A128" s="36">
        <v>-5126210</v>
      </c>
      <c r="B128" s="103" t="s">
        <v>443</v>
      </c>
    </row>
    <row r="129" spans="1:2" x14ac:dyDescent="0.2">
      <c r="A129" s="36">
        <v>-5126628</v>
      </c>
      <c r="B129" s="103" t="s">
        <v>444</v>
      </c>
    </row>
    <row r="130" spans="1:2" x14ac:dyDescent="0.2">
      <c r="A130" s="36">
        <v>-5105290</v>
      </c>
      <c r="B130" s="103" t="s">
        <v>445</v>
      </c>
    </row>
    <row r="131" spans="1:2" x14ac:dyDescent="0.2">
      <c r="A131" s="36">
        <v>-5326840</v>
      </c>
      <c r="B131" s="103" t="s">
        <v>446</v>
      </c>
    </row>
    <row r="132" spans="1:2" x14ac:dyDescent="0.2">
      <c r="A132" s="36">
        <v>-5252797</v>
      </c>
      <c r="B132" s="103" t="s">
        <v>447</v>
      </c>
    </row>
    <row r="133" spans="1:2" x14ac:dyDescent="0.2">
      <c r="A133" s="96">
        <v>-5118447</v>
      </c>
      <c r="B133" s="105" t="s">
        <v>448</v>
      </c>
    </row>
    <row r="134" spans="1:2" x14ac:dyDescent="0.2">
      <c r="A134" s="36">
        <v>-5117934</v>
      </c>
      <c r="B134" s="105" t="s">
        <v>449</v>
      </c>
    </row>
    <row r="135" spans="1:2" x14ac:dyDescent="0.2">
      <c r="A135" s="96">
        <v>-5123748</v>
      </c>
      <c r="B135" s="105" t="s">
        <v>450</v>
      </c>
    </row>
    <row r="136" spans="1:2" x14ac:dyDescent="0.2">
      <c r="A136" s="97">
        <v>-5255746</v>
      </c>
      <c r="B136" s="105" t="s">
        <v>451</v>
      </c>
    </row>
    <row r="137" spans="1:2" x14ac:dyDescent="0.2">
      <c r="A137" s="97">
        <v>-5194953</v>
      </c>
      <c r="B137" s="105" t="s">
        <v>452</v>
      </c>
    </row>
    <row r="138" spans="1:2" x14ac:dyDescent="0.2">
      <c r="A138" s="98">
        <v>-5257154</v>
      </c>
      <c r="B138" s="106" t="s">
        <v>453</v>
      </c>
    </row>
    <row r="139" spans="1:2" x14ac:dyDescent="0.2">
      <c r="A139" s="96">
        <v>-5189337</v>
      </c>
      <c r="B139" s="105" t="s">
        <v>454</v>
      </c>
    </row>
    <row r="140" spans="1:2" x14ac:dyDescent="0.2">
      <c r="A140" s="96">
        <v>-5256405</v>
      </c>
      <c r="B140" s="105" t="s">
        <v>455</v>
      </c>
    </row>
    <row r="141" spans="1:2" x14ac:dyDescent="0.2">
      <c r="A141" s="96">
        <v>-5256125</v>
      </c>
      <c r="B141" s="105" t="s">
        <v>456</v>
      </c>
    </row>
    <row r="142" spans="1:2" x14ac:dyDescent="0.2">
      <c r="A142" s="99">
        <v>-5128392</v>
      </c>
      <c r="B142" s="107" t="s">
        <v>457</v>
      </c>
    </row>
    <row r="143" spans="1:2" x14ac:dyDescent="0.2">
      <c r="A143" s="100">
        <v>-5100342</v>
      </c>
      <c r="B143" s="107" t="s">
        <v>458</v>
      </c>
    </row>
    <row r="144" spans="1:2" x14ac:dyDescent="0.2">
      <c r="A144" s="101">
        <v>-5143288</v>
      </c>
      <c r="B144" s="108" t="s">
        <v>459</v>
      </c>
    </row>
    <row r="145" spans="1:2" x14ac:dyDescent="0.2">
      <c r="A145" s="102">
        <v>-5279889</v>
      </c>
      <c r="B145" s="108" t="s">
        <v>460</v>
      </c>
    </row>
    <row r="146" spans="1:2" x14ac:dyDescent="0.2">
      <c r="A146" s="102">
        <v>-5285136</v>
      </c>
      <c r="B146" s="108" t="s">
        <v>461</v>
      </c>
    </row>
    <row r="147" spans="1:2" x14ac:dyDescent="0.2">
      <c r="A147" s="101">
        <v>-5108479</v>
      </c>
      <c r="B147" s="108" t="s">
        <v>462</v>
      </c>
    </row>
    <row r="148" spans="1:2" x14ac:dyDescent="0.2">
      <c r="A148" s="101">
        <v>-5248138</v>
      </c>
      <c r="B148" s="108" t="s">
        <v>463</v>
      </c>
    </row>
    <row r="149" spans="1:2" x14ac:dyDescent="0.2">
      <c r="A149" s="101">
        <v>-5192638</v>
      </c>
      <c r="B149" s="109" t="s">
        <v>464</v>
      </c>
    </row>
    <row r="150" spans="1:2" x14ac:dyDescent="0.2">
      <c r="A150" s="102">
        <v>-5100938</v>
      </c>
      <c r="B150" s="108" t="s">
        <v>465</v>
      </c>
    </row>
    <row r="151" spans="1:2" x14ac:dyDescent="0.2">
      <c r="A151" s="102">
        <v>-5136850</v>
      </c>
      <c r="B151" s="108" t="s">
        <v>466</v>
      </c>
    </row>
    <row r="152" spans="1:2" x14ac:dyDescent="0.2">
      <c r="A152" s="102">
        <v>-5102071</v>
      </c>
      <c r="B152" s="109" t="s">
        <v>467</v>
      </c>
    </row>
    <row r="153" spans="1:2" x14ac:dyDescent="0.2">
      <c r="B153" s="104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bersertifikat</vt:lpstr>
      <vt:lpstr>Data lengkap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Ny  07</cp:lastModifiedBy>
  <cp:lastPrinted>2025-11-10T04:04:12Z</cp:lastPrinted>
  <dcterms:created xsi:type="dcterms:W3CDTF">2025-08-14T02:37:17Z</dcterms:created>
  <dcterms:modified xsi:type="dcterms:W3CDTF">2026-01-11T02:10:02Z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2025-08-14T00:00:00Z</vt:filetime>
  </property>
  <property fmtid="{D5CDD505-2E9C-101B-9397-08002B2CF9AE}" pid="4" name="Producer">
    <vt:lpwstr>3-Heights(TM) PDF Security Shell 4.8.25.2 (http://www.pdf-tools.com)</vt:lpwstr>
  </property>
</Properties>
</file>